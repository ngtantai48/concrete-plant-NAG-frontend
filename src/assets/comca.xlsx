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ty\Documents\BE TONG\concrete-plant-NAG-frontend\src\assets\"/>
    </mc:Choice>
  </mc:AlternateContent>
  <xr:revisionPtr revIDLastSave="0" documentId="8_{F813C2D8-F819-421F-9A08-D5F6F2FC44FA}" xr6:coauthVersionLast="47" xr6:coauthVersionMax="47" xr10:uidLastSave="{00000000-0000-0000-0000-000000000000}"/>
  <bookViews>
    <workbookView xWindow="-98" yWindow="-98" windowWidth="21795" windowHeight="12975" firstSheet="4" activeTab="4" xr2:uid="{00000000-000D-0000-FFFF-FFFF00000000}"/>
  </bookViews>
  <sheets>
    <sheet name="foxz" sheetId="14" state="veryHidden" r:id="rId1"/>
    <sheet name="Mới (2)" sheetId="25" r:id="rId2"/>
    <sheet name="Mới" sheetId="24" r:id="rId3"/>
    <sheet name="NAII (7)" sheetId="22" r:id="rId4"/>
    <sheet name="NAII" sheetId="18" r:id="rId5"/>
  </sheets>
  <definedNames>
    <definedName name="atools__B3_B54_1" localSheetId="2">#REF!</definedName>
    <definedName name="atools__B3_B54_1" localSheetId="1">#REF!</definedName>
    <definedName name="atools__B3_B54_1" localSheetId="4">#REF!</definedName>
    <definedName name="atools__B3_B54_1" localSheetId="3">#REF!</definedName>
    <definedName name="atools__B3_B54_1">#REF!</definedName>
    <definedName name="atools__B4_B54_1" localSheetId="2">#REF!</definedName>
    <definedName name="atools__B4_B54_1" localSheetId="1">#REF!</definedName>
    <definedName name="atools__B4_B54_1" localSheetId="4">#REF!</definedName>
    <definedName name="atools__B4_B54_1" localSheetId="3">#REF!</definedName>
    <definedName name="atools__B4_B54_1">#REF!</definedName>
    <definedName name="_xlnm.Print_Area" localSheetId="2">Mới!$A$1:$AK$17</definedName>
    <definedName name="_xlnm.Print_Area" localSheetId="1">'Mới (2)'!$A$1:$AK$15</definedName>
    <definedName name="_xlnm.Print_Area" localSheetId="4">NAII!$A$1:$AA$71</definedName>
    <definedName name="_xlnm.Print_Area" localSheetId="3">'NAII (7)'!$A$1:$AK$83</definedName>
    <definedName name="_xlnm.Print_Titles" localSheetId="2">Mới!$3:$5</definedName>
    <definedName name="_xlnm.Print_Titles" localSheetId="1">'Mới (2)'!$3:$5</definedName>
    <definedName name="_xlnm.Print_Titles" localSheetId="4">NAII!$3:$5</definedName>
    <definedName name="_xlnm.Print_Titles" localSheetId="3">'NAII (7)'!$3:$5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7" i="25" l="1"/>
  <c r="AH7" i="25"/>
  <c r="AG7" i="25"/>
  <c r="AF7" i="25"/>
  <c r="AE7" i="25"/>
  <c r="AD7" i="25"/>
  <c r="AC7" i="25"/>
  <c r="AB7" i="25"/>
  <c r="AA7" i="25"/>
  <c r="Z7" i="25"/>
  <c r="Y7" i="25"/>
  <c r="X7" i="25"/>
  <c r="W7" i="25"/>
  <c r="V7" i="25"/>
  <c r="U7" i="25"/>
  <c r="T7" i="25"/>
  <c r="S7" i="25"/>
  <c r="R7" i="25"/>
  <c r="Q7" i="25"/>
  <c r="P7" i="25"/>
  <c r="O7" i="25"/>
  <c r="N7" i="25"/>
  <c r="M7" i="25"/>
  <c r="L7" i="25"/>
  <c r="K7" i="25"/>
  <c r="J7" i="25"/>
  <c r="I7" i="25"/>
  <c r="H7" i="25"/>
  <c r="G7" i="25"/>
  <c r="F7" i="25"/>
  <c r="E7" i="25"/>
  <c r="D7" i="25"/>
  <c r="C7" i="25"/>
  <c r="AJ6" i="25"/>
  <c r="AI9" i="24"/>
  <c r="AH9" i="24"/>
  <c r="AG9" i="24"/>
  <c r="AF9" i="24"/>
  <c r="AE9" i="24"/>
  <c r="AD9" i="24"/>
  <c r="AC9" i="24"/>
  <c r="AB9" i="24"/>
  <c r="AA9" i="24"/>
  <c r="Z9" i="24"/>
  <c r="Y9" i="24"/>
  <c r="X9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J9" i="24"/>
  <c r="I9" i="24"/>
  <c r="H9" i="24"/>
  <c r="G9" i="24"/>
  <c r="F9" i="24"/>
  <c r="E9" i="24"/>
  <c r="D9" i="24"/>
  <c r="C9" i="24"/>
  <c r="AJ8" i="24"/>
  <c r="AJ7" i="24"/>
  <c r="AJ6" i="24"/>
  <c r="AJ7" i="25" l="1"/>
  <c r="AJ9" i="24"/>
  <c r="AJ73" i="22"/>
  <c r="AJ48" i="22"/>
  <c r="AJ49" i="22"/>
  <c r="AI75" i="22"/>
  <c r="AH75" i="22"/>
  <c r="AG75" i="22"/>
  <c r="AF75" i="22"/>
  <c r="AE75" i="22"/>
  <c r="AD75" i="22"/>
  <c r="AC75" i="22"/>
  <c r="AB75" i="22"/>
  <c r="AA75" i="22"/>
  <c r="Z75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AJ74" i="22"/>
  <c r="AJ72" i="22"/>
  <c r="AJ71" i="22"/>
  <c r="AJ70" i="22"/>
  <c r="AJ69" i="22"/>
  <c r="AJ68" i="22"/>
  <c r="AJ67" i="22"/>
  <c r="AJ66" i="22"/>
  <c r="AJ65" i="22"/>
  <c r="AJ64" i="22"/>
  <c r="AJ63" i="22"/>
  <c r="AJ62" i="22"/>
  <c r="AJ61" i="22"/>
  <c r="AJ60" i="22"/>
  <c r="AJ59" i="22"/>
  <c r="AJ58" i="22"/>
  <c r="AJ57" i="22"/>
  <c r="AJ56" i="22"/>
  <c r="AJ55" i="22"/>
  <c r="AJ54" i="22"/>
  <c r="AJ53" i="22"/>
  <c r="AJ52" i="22"/>
  <c r="AJ51" i="22"/>
  <c r="AJ47" i="22"/>
  <c r="AJ46" i="22"/>
  <c r="AJ45" i="22"/>
  <c r="AJ44" i="22"/>
  <c r="AJ43" i="22"/>
  <c r="AJ42" i="22"/>
  <c r="AJ41" i="22"/>
  <c r="AJ40" i="22"/>
  <c r="AJ39" i="22"/>
  <c r="AJ38" i="22"/>
  <c r="AJ37" i="22"/>
  <c r="AJ36" i="22"/>
  <c r="AJ35" i="22"/>
  <c r="AJ33" i="22"/>
  <c r="AJ32" i="22"/>
  <c r="AJ31" i="22"/>
  <c r="AJ30" i="22"/>
  <c r="AJ29" i="22"/>
  <c r="AJ28" i="22"/>
  <c r="AJ27" i="22"/>
  <c r="AJ26" i="22"/>
  <c r="AJ25" i="22"/>
  <c r="AJ24" i="22"/>
  <c r="AJ23" i="22"/>
  <c r="AJ22" i="22"/>
  <c r="AJ21" i="22"/>
  <c r="AJ20" i="22"/>
  <c r="AJ19" i="22"/>
  <c r="AJ17" i="22"/>
  <c r="AJ16" i="22"/>
  <c r="AJ15" i="22"/>
  <c r="AJ14" i="22"/>
  <c r="AJ13" i="22"/>
  <c r="AJ12" i="22"/>
  <c r="AJ10" i="22"/>
  <c r="AJ9" i="22"/>
  <c r="AJ8" i="22"/>
  <c r="AJ7" i="22"/>
  <c r="AJ75" i="22" l="1"/>
  <c r="Z63" i="18" l="1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AA62" i="18"/>
  <c r="AA61" i="18"/>
  <c r="AA60" i="18"/>
  <c r="AA59" i="18"/>
  <c r="AA58" i="18"/>
  <c r="AA57" i="18"/>
  <c r="AA56" i="18"/>
  <c r="AA55" i="18"/>
  <c r="AA54" i="18"/>
  <c r="AA53" i="18"/>
  <c r="AA52" i="18"/>
  <c r="AA51" i="18"/>
  <c r="AA50" i="18"/>
  <c r="AA49" i="18"/>
  <c r="AA48" i="18"/>
  <c r="AA47" i="18"/>
  <c r="AA46" i="18"/>
  <c r="AA45" i="18"/>
  <c r="AA44" i="18"/>
  <c r="AA42" i="18"/>
  <c r="AA41" i="18"/>
  <c r="AA40" i="18"/>
  <c r="AA39" i="18"/>
  <c r="AA38" i="18"/>
  <c r="AA37" i="18"/>
  <c r="AA36" i="18"/>
  <c r="AA35" i="18"/>
  <c r="AA34" i="18"/>
  <c r="AA33" i="18"/>
  <c r="AA32" i="18"/>
  <c r="AA30" i="18"/>
  <c r="AA29" i="18"/>
  <c r="AA28" i="18"/>
  <c r="AA27" i="18"/>
  <c r="AA26" i="18"/>
  <c r="AA25" i="18"/>
  <c r="AA24" i="18"/>
  <c r="AA23" i="18"/>
  <c r="AA22" i="18"/>
  <c r="AA21" i="18"/>
  <c r="AA20" i="18"/>
  <c r="AA19" i="18"/>
  <c r="AA18" i="18"/>
  <c r="AA17" i="18"/>
  <c r="AA15" i="18"/>
  <c r="AA14" i="18"/>
  <c r="AA13" i="18"/>
  <c r="AA12" i="18"/>
  <c r="AA10" i="18"/>
  <c r="AA9" i="18"/>
  <c r="AA8" i="18"/>
  <c r="AA7" i="18"/>
  <c r="AA63" i="18" l="1"/>
</calcChain>
</file>

<file path=xl/sharedStrings.xml><?xml version="1.0" encoding="utf-8"?>
<sst xmlns="http://schemas.openxmlformats.org/spreadsheetml/2006/main" count="684" uniqueCount="104">
  <si>
    <t>STT</t>
  </si>
  <si>
    <t>Họ và tên</t>
  </si>
  <si>
    <t>Ngày trong tháng</t>
  </si>
  <si>
    <t>Tổng cộng</t>
  </si>
  <si>
    <t>Phan Duy Hưng</t>
  </si>
  <si>
    <t>Trần Đức Cường</t>
  </si>
  <si>
    <t>Ngô Thanh Tùng</t>
  </si>
  <si>
    <t>Trần Thanh Nghiệp</t>
  </si>
  <si>
    <t>Lê Anh Tuấn</t>
  </si>
  <si>
    <t>Ngô Hữu Kiển</t>
  </si>
  <si>
    <t>Nguyễn Phúc Hiền</t>
  </si>
  <si>
    <t>Võ Văn Hùng</t>
  </si>
  <si>
    <t>Phạm Văn Hiếu</t>
  </si>
  <si>
    <t>Hoàng Văn Lương</t>
  </si>
  <si>
    <t>Nguyễn Văn Hiếu</t>
  </si>
  <si>
    <t>Đoàn Cương Trung</t>
  </si>
  <si>
    <t>Võ Phi Thiệp</t>
  </si>
  <si>
    <t>Nguyễn Hải Nam</t>
  </si>
  <si>
    <t>Lê Văn Thành</t>
  </si>
  <si>
    <t>Nguyễn Thanh Bình</t>
  </si>
  <si>
    <t>Phạm Hữu Khoa</t>
  </si>
  <si>
    <t>Trần Văn Long</t>
  </si>
  <si>
    <t>Đặng Phúc Hậu</t>
  </si>
  <si>
    <t>Nguyễn Ngọc Tân</t>
  </si>
  <si>
    <t>Nguyễn Văn Hùng</t>
  </si>
  <si>
    <t>Phạm Xuân Đại</t>
  </si>
  <si>
    <t>Nguyễn Đức Ánh</t>
  </si>
  <si>
    <t>Lê Văn Phán</t>
  </si>
  <si>
    <t>Lê Nam Hưng</t>
  </si>
  <si>
    <t>Phan Anh Đức</t>
  </si>
  <si>
    <t>Trương Thế Ngữ</t>
  </si>
  <si>
    <t>Trương Thanh Tuấn</t>
  </si>
  <si>
    <t>Người lập</t>
  </si>
  <si>
    <t xml:space="preserve">(Ký, họ tên)       </t>
  </si>
  <si>
    <t>B</t>
  </si>
  <si>
    <t>Quản lý sản xuất</t>
  </si>
  <si>
    <t>A</t>
  </si>
  <si>
    <t>Vận hành trạm</t>
  </si>
  <si>
    <t>C</t>
  </si>
  <si>
    <t>D</t>
  </si>
  <si>
    <t>E</t>
  </si>
  <si>
    <t>F</t>
  </si>
  <si>
    <t>Quản lý chất lượng (QA/QC)</t>
  </si>
  <si>
    <t>Tổ xe bơm</t>
  </si>
  <si>
    <t>Tổ bơm tĩnh</t>
  </si>
  <si>
    <t>Tổ xe bồn</t>
  </si>
  <si>
    <t>Nguyễn Hiếu Chiến</t>
  </si>
  <si>
    <t>Nguyễn Qúi</t>
  </si>
  <si>
    <t>Bùi Quang Cường</t>
  </si>
  <si>
    <t>Trần Đức Lương</t>
  </si>
  <si>
    <t>Nguyễn Thành Vinh</t>
  </si>
  <si>
    <t>Trương Ngọc Cương</t>
  </si>
  <si>
    <t>Nguyễn Văn Hiệu</t>
  </si>
  <si>
    <t>Nguyễn Nam Hòa</t>
  </si>
  <si>
    <t>Nguyễn Hữu Thăng</t>
  </si>
  <si>
    <t>Phạm Trực Thăng</t>
  </si>
  <si>
    <t>Hồ Quốc Tuấn</t>
  </si>
  <si>
    <t>Võ Văn Hùng</t>
  </si>
  <si>
    <t>Trưa</t>
  </si>
  <si>
    <t>Chiều</t>
  </si>
  <si>
    <t>Tối</t>
  </si>
  <si>
    <t>Dương Quốc Mạnh</t>
  </si>
  <si>
    <t>Tổng</t>
  </si>
  <si>
    <t>Kí nhận</t>
  </si>
  <si>
    <t>Ghi chú</t>
  </si>
  <si>
    <t>Văn phòng</t>
  </si>
  <si>
    <t>Phạm Xuân Trung</t>
  </si>
  <si>
    <t>Lê Hoài Nam</t>
  </si>
  <si>
    <t>Dương Việt Hùng</t>
  </si>
  <si>
    <t>Hoàng Văn Phương</t>
  </si>
  <si>
    <t>/</t>
  </si>
  <si>
    <t xml:space="preserve"> </t>
  </si>
  <si>
    <t>Nguyễn Văn Thoài</t>
  </si>
  <si>
    <t>Võ Hữu Hiếu</t>
  </si>
  <si>
    <t xml:space="preserve">BẢNG CHẤM TIỀN ĂN QUA BỮA </t>
  </si>
  <si>
    <t>Đoàn Hữu Trình</t>
  </si>
  <si>
    <t>Nguyễn Sinh Côn</t>
  </si>
  <si>
    <t>Từ ngày 21/02/2026 - 28/02/2026</t>
  </si>
  <si>
    <t xml:space="preserve">     Tổng:  04 bữa (Bốn bữa)</t>
  </si>
  <si>
    <t xml:space="preserve">          Quảng Trị,ngày 28 Tháng 02 năm2026         </t>
  </si>
  <si>
    <t>Mai Xuân Bắc</t>
  </si>
  <si>
    <t>Hoàng Văn Mạnh</t>
  </si>
  <si>
    <t>Lê Ngọc Quang</t>
  </si>
  <si>
    <t>Phạm Văn Nam</t>
  </si>
  <si>
    <t>Nguyễn Cao Đôn</t>
  </si>
  <si>
    <t>Nguyễn Minh Thụ</t>
  </si>
  <si>
    <t>Từ Hữu Tuấn</t>
  </si>
  <si>
    <t>Phạm Văn Kiên</t>
  </si>
  <si>
    <t>Mai Chiến Hữu</t>
  </si>
  <si>
    <t>Đỗ Ngọc Sơn</t>
  </si>
  <si>
    <t>Nguyễn Lương Hoàng</t>
  </si>
  <si>
    <t>Hoàng Văn Hóa</t>
  </si>
  <si>
    <t xml:space="preserve">          Quảng Trị, ngày 20 Tháng 03 năm 2026         </t>
  </si>
  <si>
    <t>Từ ngày 21/03/2026 - 31/03/2026</t>
  </si>
  <si>
    <t>Võ Hào Quang</t>
  </si>
  <si>
    <t>Trần Ngọc Hợp</t>
  </si>
  <si>
    <t xml:space="preserve">          Quảng Trị, ngày 31 Tháng 03 năm 2026         </t>
  </si>
  <si>
    <t xml:space="preserve">     Tổng:  562bữa (Năm trăm sáu mươi hai bữa)</t>
  </si>
  <si>
    <t>Từ ngày 01/04/2026 - 10/04/2026</t>
  </si>
  <si>
    <t>Nguyễn Nhật Nam</t>
  </si>
  <si>
    <t>Chung</t>
  </si>
  <si>
    <t>Đặng Quyết Thắng</t>
  </si>
  <si>
    <t xml:space="preserve">     Tổng:  06 bữa (Sáu bữa)</t>
  </si>
  <si>
    <t xml:space="preserve">     Tổng:  01 bữa (Một bữa)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</si>
</sst>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6"/>
      <name val="Times New Roman"/>
      <family val="1"/>
    </font>
    <font>
      <sz val="10"/>
      <name val="Times New Roman"/>
      <family val="1"/>
    </font>
    <font>
      <b/>
      <sz val="18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u/>
      <sz val="10"/>
      <name val="Times New Roman"/>
      <family val="1"/>
    </font>
    <font>
      <i/>
      <sz val="12"/>
      <name val="Times New Roman"/>
      <family val="1"/>
    </font>
    <font>
      <sz val="10"/>
      <name val="Arial"/>
      <family val="2"/>
    </font>
    <font>
      <b/>
      <sz val="12"/>
      <color theme="1"/>
      <name val="Times New Roman"/>
      <family val="1"/>
    </font>
    <font>
      <b/>
      <i/>
      <sz val="12"/>
      <name val="Times New Roman"/>
      <family val="1"/>
    </font>
    <font>
      <sz val="12"/>
      <color theme="1"/>
      <name val="Times New Roman"/>
      <family val="1"/>
    </font>
    <font>
      <sz val="12"/>
      <color theme="1"/>
      <name val="Times New Roman"/>
      <family val="2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i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11" fillId="0" borderId="0"/>
    <xf numFmtId="0" fontId="1" fillId="0" borderId="0"/>
    <xf numFmtId="0" fontId="15" fillId="0" borderId="0"/>
  </cellStyleXfs>
  <cellXfs count="64">
    <xf numFmtId="0" fontId="0" fillId="0" borderId="0" xfId="0"/>
    <xf numFmtId="0" fontId="3" fillId="0" borderId="0" xfId="1" applyFont="1"/>
    <xf numFmtId="0" fontId="3" fillId="0" borderId="0" xfId="1" applyFont="1" applyAlignment="1">
      <alignment horizontal="left" vertical="center"/>
    </xf>
    <xf numFmtId="0" fontId="6" fillId="0" borderId="0" xfId="1" applyFont="1"/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vertical="center" wrapText="1"/>
    </xf>
    <xf numFmtId="0" fontId="3" fillId="3" borderId="0" xfId="1" applyFont="1" applyFill="1" applyAlignment="1">
      <alignment vertical="center"/>
    </xf>
    <xf numFmtId="0" fontId="8" fillId="3" borderId="0" xfId="1" applyFont="1" applyFill="1"/>
    <xf numFmtId="0" fontId="3" fillId="3" borderId="0" xfId="1" applyFont="1" applyFill="1"/>
    <xf numFmtId="0" fontId="3" fillId="3" borderId="0" xfId="1" applyFont="1" applyFill="1" applyAlignment="1">
      <alignment horizontal="center" vertical="center"/>
    </xf>
    <xf numFmtId="0" fontId="9" fillId="3" borderId="0" xfId="1" applyFont="1" applyFill="1" applyAlignment="1">
      <alignment horizontal="left" vertical="center"/>
    </xf>
    <xf numFmtId="0" fontId="8" fillId="3" borderId="0" xfId="1" applyFont="1" applyFill="1" applyAlignment="1">
      <alignment horizontal="left" vertical="center"/>
    </xf>
    <xf numFmtId="0" fontId="13" fillId="3" borderId="0" xfId="1" applyFont="1" applyFill="1" applyAlignment="1">
      <alignment horizontal="left" vertical="center"/>
    </xf>
    <xf numFmtId="0" fontId="3" fillId="3" borderId="0" xfId="1" applyFont="1" applyFill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8" fillId="0" borderId="0" xfId="1" applyFont="1"/>
    <xf numFmtId="0" fontId="8" fillId="0" borderId="0" xfId="1" quotePrefix="1" applyFont="1" applyAlignment="1">
      <alignment vertical="center"/>
    </xf>
    <xf numFmtId="0" fontId="8" fillId="0" borderId="0" xfId="1" applyFont="1" applyAlignment="1">
      <alignment vertical="center"/>
    </xf>
    <xf numFmtId="0" fontId="8" fillId="0" borderId="2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10" fillId="3" borderId="0" xfId="1" applyFont="1" applyFill="1" applyAlignment="1">
      <alignment vertical="center"/>
    </xf>
    <xf numFmtId="0" fontId="12" fillId="0" borderId="1" xfId="0" applyFont="1" applyBorder="1" applyAlignment="1">
      <alignment vertical="center" wrapText="1"/>
    </xf>
    <xf numFmtId="0" fontId="4" fillId="0" borderId="0" xfId="1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8" fillId="3" borderId="0" xfId="1" applyFont="1" applyFill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5" fillId="0" borderId="0" xfId="1" applyFont="1" applyAlignment="1">
      <alignment vertical="center"/>
    </xf>
    <xf numFmtId="0" fontId="14" fillId="0" borderId="4" xfId="0" applyFont="1" applyBorder="1" applyAlignment="1">
      <alignment horizontal="center" vertical="center" wrapText="1"/>
    </xf>
    <xf numFmtId="0" fontId="5" fillId="0" borderId="3" xfId="2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wrapText="1"/>
    </xf>
    <xf numFmtId="0" fontId="21" fillId="2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wrapText="1"/>
    </xf>
    <xf numFmtId="0" fontId="19" fillId="2" borderId="1" xfId="0" quotePrefix="1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left" wrapText="1"/>
    </xf>
    <xf numFmtId="0" fontId="19" fillId="0" borderId="1" xfId="0" applyFont="1" applyBorder="1" applyAlignment="1">
      <alignment horizontal="left" wrapText="1"/>
    </xf>
    <xf numFmtId="0" fontId="14" fillId="2" borderId="1" xfId="0" applyFont="1" applyFill="1" applyBorder="1" applyAlignment="1">
      <alignment horizontal="left" wrapText="1"/>
    </xf>
    <xf numFmtId="0" fontId="8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3" fillId="0" borderId="0" xfId="1" applyFont="1" applyAlignment="1">
      <alignment vertical="center" wrapText="1"/>
    </xf>
    <xf numFmtId="0" fontId="8" fillId="3" borderId="0" xfId="1" applyFont="1" applyFill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left" vertical="center"/>
    </xf>
    <xf numFmtId="0" fontId="7" fillId="0" borderId="0" xfId="1" quotePrefix="1" applyFont="1" applyAlignment="1">
      <alignment horizontal="center"/>
    </xf>
    <xf numFmtId="0" fontId="10" fillId="3" borderId="0" xfId="1" applyFont="1" applyFill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4" fillId="0" borderId="0" xfId="1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  <cellStyle name="Normal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79183</xdr:colOff>
      <xdr:row>0</xdr:row>
      <xdr:rowOff>0</xdr:rowOff>
    </xdr:from>
    <xdr:to>
      <xdr:col>2</xdr:col>
      <xdr:colOff>223598</xdr:colOff>
      <xdr:row>1</xdr:row>
      <xdr:rowOff>121164</xdr:rowOff>
    </xdr:to>
    <xdr:pic>
      <xdr:nvPicPr>
        <xdr:cNvPr id="2" name="Picture 1" descr="logo (1)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83" y="0"/>
          <a:ext cx="1944640" cy="4831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79183</xdr:colOff>
      <xdr:row>0</xdr:row>
      <xdr:rowOff>0</xdr:rowOff>
    </xdr:from>
    <xdr:to>
      <xdr:col>2</xdr:col>
      <xdr:colOff>223598</xdr:colOff>
      <xdr:row>1</xdr:row>
      <xdr:rowOff>121164</xdr:rowOff>
    </xdr:to>
    <xdr:pic>
      <xdr:nvPicPr>
        <xdr:cNvPr id="2" name="Picture 1" descr="logo (1)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83" y="0"/>
          <a:ext cx="1944640" cy="4831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79183</xdr:colOff>
      <xdr:row>0</xdr:row>
      <xdr:rowOff>0</xdr:rowOff>
    </xdr:from>
    <xdr:to>
      <xdr:col>2</xdr:col>
      <xdr:colOff>223598</xdr:colOff>
      <xdr:row>1</xdr:row>
      <xdr:rowOff>121164</xdr:rowOff>
    </xdr:to>
    <xdr:pic>
      <xdr:nvPicPr>
        <xdr:cNvPr id="2" name="Picture 1" descr="logo (1)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83" y="0"/>
          <a:ext cx="1944640" cy="4831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79183</xdr:colOff>
      <xdr:row>0</xdr:row>
      <xdr:rowOff>0</xdr:rowOff>
    </xdr:from>
    <xdr:to>
      <xdr:col>2</xdr:col>
      <xdr:colOff>223598</xdr:colOff>
      <xdr:row>1</xdr:row>
      <xdr:rowOff>121164</xdr:rowOff>
    </xdr:to>
    <xdr:pic>
      <xdr:nvPicPr>
        <xdr:cNvPr id="2" name="Picture 1" descr="logo (1).jp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83" y="0"/>
          <a:ext cx="1944640" cy="4831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/>
  </sheetViews>
  <sheetFormatPr defaultRowHeight="13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K21"/>
  <sheetViews>
    <sheetView view="pageBreakPreview" zoomScale="85" zoomScaleNormal="80" zoomScaleSheetLayoutView="85" workbookViewId="0">
      <pane ySplit="5" topLeftCell="A6" activePane="bottomLeft" state="frozen"/>
      <selection pane="bottomLeft" activeCell="A7" sqref="A7:B7"/>
    </sheetView>
  </sheetViews>
  <sheetFormatPr defaultColWidth="9.125" defaultRowHeight="13.15" x14ac:dyDescent="0.4"/>
  <cols>
    <col min="1" max="1" width="5.5625" style="1" customWidth="1"/>
    <col min="2" max="2" width="21.4375" style="2" customWidth="1"/>
    <col min="3" max="31" width="5.4375" style="1" customWidth="1"/>
    <col min="32" max="32" width="5.5625" style="1" customWidth="1"/>
    <col min="33" max="33" width="16" style="1" hidden="1" customWidth="1"/>
    <col min="34" max="35" width="5.4375" style="1" hidden="1" customWidth="1"/>
    <col min="36" max="36" width="5.5625" style="1" customWidth="1"/>
    <col min="37" max="37" width="17.3125" style="1" hidden="1" customWidth="1"/>
    <col min="38" max="16384" width="9.125" style="1"/>
  </cols>
  <sheetData>
    <row r="1" spans="1:37" ht="28.5" customHeight="1" x14ac:dyDescent="0.6">
      <c r="A1" s="60" t="s">
        <v>74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22"/>
    </row>
    <row r="2" spans="1:37" ht="18" customHeight="1" x14ac:dyDescent="0.4">
      <c r="A2" s="61" t="s">
        <v>93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23"/>
    </row>
    <row r="3" spans="1:37" s="3" customFormat="1" ht="15" customHeight="1" x14ac:dyDescent="0.35">
      <c r="A3" s="58" t="s">
        <v>0</v>
      </c>
      <c r="B3" s="58" t="s">
        <v>1</v>
      </c>
      <c r="C3" s="58" t="s">
        <v>2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 t="s">
        <v>62</v>
      </c>
      <c r="AK3" s="58" t="s">
        <v>63</v>
      </c>
    </row>
    <row r="4" spans="1:37" ht="30.75" customHeight="1" x14ac:dyDescent="0.4">
      <c r="A4" s="58"/>
      <c r="B4" s="58"/>
      <c r="C4" s="59">
        <v>11</v>
      </c>
      <c r="D4" s="59"/>
      <c r="E4" s="59"/>
      <c r="F4" s="59">
        <v>12</v>
      </c>
      <c r="G4" s="59"/>
      <c r="H4" s="59"/>
      <c r="I4" s="59">
        <v>13</v>
      </c>
      <c r="J4" s="59"/>
      <c r="K4" s="59"/>
      <c r="L4" s="59">
        <v>14</v>
      </c>
      <c r="M4" s="59"/>
      <c r="N4" s="59"/>
      <c r="O4" s="59">
        <v>15</v>
      </c>
      <c r="P4" s="59"/>
      <c r="Q4" s="59"/>
      <c r="R4" s="59">
        <v>16</v>
      </c>
      <c r="S4" s="59"/>
      <c r="T4" s="59"/>
      <c r="U4" s="59">
        <v>17</v>
      </c>
      <c r="V4" s="59"/>
      <c r="W4" s="59"/>
      <c r="X4" s="59">
        <v>18</v>
      </c>
      <c r="Y4" s="59"/>
      <c r="Z4" s="59"/>
      <c r="AA4" s="59">
        <v>19</v>
      </c>
      <c r="AB4" s="59"/>
      <c r="AC4" s="59"/>
      <c r="AD4" s="59">
        <v>20</v>
      </c>
      <c r="AE4" s="59"/>
      <c r="AF4" s="59"/>
      <c r="AG4" s="59">
        <v>31</v>
      </c>
      <c r="AH4" s="59"/>
      <c r="AI4" s="59"/>
      <c r="AJ4" s="58"/>
      <c r="AK4" s="58"/>
    </row>
    <row r="5" spans="1:37" ht="26.25" customHeight="1" x14ac:dyDescent="0.4">
      <c r="A5" s="58"/>
      <c r="B5" s="58"/>
      <c r="C5" s="28" t="s">
        <v>58</v>
      </c>
      <c r="D5" s="28" t="s">
        <v>59</v>
      </c>
      <c r="E5" s="28" t="s">
        <v>60</v>
      </c>
      <c r="F5" s="28" t="s">
        <v>58</v>
      </c>
      <c r="G5" s="28" t="s">
        <v>59</v>
      </c>
      <c r="H5" s="28" t="s">
        <v>60</v>
      </c>
      <c r="I5" s="28" t="s">
        <v>58</v>
      </c>
      <c r="J5" s="28" t="s">
        <v>59</v>
      </c>
      <c r="K5" s="44" t="s">
        <v>60</v>
      </c>
      <c r="L5" s="44" t="s">
        <v>58</v>
      </c>
      <c r="M5" s="44" t="s">
        <v>59</v>
      </c>
      <c r="N5" s="44" t="s">
        <v>60</v>
      </c>
      <c r="O5" s="44" t="s">
        <v>58</v>
      </c>
      <c r="P5" s="44" t="s">
        <v>59</v>
      </c>
      <c r="Q5" s="44" t="s">
        <v>60</v>
      </c>
      <c r="R5" s="44" t="s">
        <v>58</v>
      </c>
      <c r="S5" s="44" t="s">
        <v>59</v>
      </c>
      <c r="T5" s="44" t="s">
        <v>60</v>
      </c>
      <c r="U5" s="44" t="s">
        <v>58</v>
      </c>
      <c r="V5" s="44" t="s">
        <v>59</v>
      </c>
      <c r="W5" s="44" t="s">
        <v>60</v>
      </c>
      <c r="X5" s="44" t="s">
        <v>58</v>
      </c>
      <c r="Y5" s="44" t="s">
        <v>59</v>
      </c>
      <c r="Z5" s="44" t="s">
        <v>60</v>
      </c>
      <c r="AA5" s="44" t="s">
        <v>58</v>
      </c>
      <c r="AB5" s="44" t="s">
        <v>59</v>
      </c>
      <c r="AC5" s="44" t="s">
        <v>60</v>
      </c>
      <c r="AD5" s="44" t="s">
        <v>58</v>
      </c>
      <c r="AE5" s="44" t="s">
        <v>59</v>
      </c>
      <c r="AF5" s="44" t="s">
        <v>60</v>
      </c>
      <c r="AG5" s="28"/>
      <c r="AH5" s="28" t="s">
        <v>59</v>
      </c>
      <c r="AI5" s="28" t="s">
        <v>60</v>
      </c>
      <c r="AJ5" s="58"/>
      <c r="AK5" s="58"/>
    </row>
    <row r="6" spans="1:37" s="4" customFormat="1" ht="19.5" customHeight="1" x14ac:dyDescent="0.35">
      <c r="A6" s="30">
        <v>1</v>
      </c>
      <c r="B6" s="40" t="s">
        <v>91</v>
      </c>
      <c r="C6" s="38"/>
      <c r="D6" s="38"/>
      <c r="E6" s="34"/>
      <c r="F6" s="38"/>
      <c r="G6" s="34"/>
      <c r="H6" s="38"/>
      <c r="I6" s="38"/>
      <c r="J6" s="34"/>
      <c r="K6" s="46"/>
      <c r="L6" s="45"/>
      <c r="M6" s="45"/>
      <c r="N6" s="45"/>
      <c r="O6" s="45"/>
      <c r="P6" s="45"/>
      <c r="Q6" s="45"/>
      <c r="R6" s="45"/>
      <c r="S6" s="46"/>
      <c r="T6" s="45"/>
      <c r="U6" s="45"/>
      <c r="V6" s="45"/>
      <c r="W6" s="45"/>
      <c r="X6" s="45"/>
      <c r="Y6" s="45"/>
      <c r="Z6" s="45"/>
      <c r="AA6" s="45"/>
      <c r="AB6" s="46"/>
      <c r="AC6" s="46"/>
      <c r="AD6" s="46" t="s">
        <v>70</v>
      </c>
      <c r="AE6" s="45"/>
      <c r="AF6" s="45"/>
      <c r="AG6" s="38"/>
      <c r="AH6" s="34"/>
      <c r="AI6" s="38"/>
      <c r="AJ6" s="18">
        <f t="shared" ref="AJ6" si="0">SUM(COUNTIF(A6:AI6, "/"),COUNTIF(A6:AI6,"1/2")*0.5)</f>
        <v>1</v>
      </c>
      <c r="AK6" s="19"/>
    </row>
    <row r="7" spans="1:37" s="4" customFormat="1" ht="19.5" customHeight="1" x14ac:dyDescent="0.35">
      <c r="A7" s="50" t="s">
        <v>3</v>
      </c>
      <c r="B7" s="51"/>
      <c r="C7" s="31">
        <f t="shared" ref="C7:AI7" si="1">SUM(COUNTIF(C6:C6, "/"),COUNTIF(C6:C6,"1/2")*0.5)</f>
        <v>0</v>
      </c>
      <c r="D7" s="31">
        <f t="shared" si="1"/>
        <v>0</v>
      </c>
      <c r="E7" s="31">
        <f t="shared" si="1"/>
        <v>0</v>
      </c>
      <c r="F7" s="31">
        <f t="shared" si="1"/>
        <v>0</v>
      </c>
      <c r="G7" s="31">
        <f t="shared" si="1"/>
        <v>0</v>
      </c>
      <c r="H7" s="31">
        <f t="shared" si="1"/>
        <v>0</v>
      </c>
      <c r="I7" s="31">
        <f t="shared" si="1"/>
        <v>0</v>
      </c>
      <c r="J7" s="31">
        <f t="shared" si="1"/>
        <v>0</v>
      </c>
      <c r="K7" s="31">
        <f t="shared" si="1"/>
        <v>0</v>
      </c>
      <c r="L7" s="31">
        <f t="shared" si="1"/>
        <v>0</v>
      </c>
      <c r="M7" s="31">
        <f t="shared" si="1"/>
        <v>0</v>
      </c>
      <c r="N7" s="31">
        <f t="shared" si="1"/>
        <v>0</v>
      </c>
      <c r="O7" s="31">
        <f t="shared" si="1"/>
        <v>0</v>
      </c>
      <c r="P7" s="31">
        <f t="shared" si="1"/>
        <v>0</v>
      </c>
      <c r="Q7" s="31">
        <f t="shared" si="1"/>
        <v>0</v>
      </c>
      <c r="R7" s="31">
        <f t="shared" si="1"/>
        <v>0</v>
      </c>
      <c r="S7" s="31">
        <f t="shared" si="1"/>
        <v>0</v>
      </c>
      <c r="T7" s="31">
        <f t="shared" si="1"/>
        <v>0</v>
      </c>
      <c r="U7" s="31">
        <f t="shared" si="1"/>
        <v>0</v>
      </c>
      <c r="V7" s="31">
        <f t="shared" si="1"/>
        <v>0</v>
      </c>
      <c r="W7" s="31">
        <f t="shared" si="1"/>
        <v>0</v>
      </c>
      <c r="X7" s="31">
        <f t="shared" si="1"/>
        <v>0</v>
      </c>
      <c r="Y7" s="31">
        <f t="shared" si="1"/>
        <v>0</v>
      </c>
      <c r="Z7" s="31">
        <f t="shared" si="1"/>
        <v>0</v>
      </c>
      <c r="AA7" s="31">
        <f t="shared" si="1"/>
        <v>0</v>
      </c>
      <c r="AB7" s="31">
        <f t="shared" si="1"/>
        <v>0</v>
      </c>
      <c r="AC7" s="31">
        <f t="shared" si="1"/>
        <v>0</v>
      </c>
      <c r="AD7" s="31">
        <f t="shared" si="1"/>
        <v>1</v>
      </c>
      <c r="AE7" s="31">
        <f t="shared" si="1"/>
        <v>0</v>
      </c>
      <c r="AF7" s="31">
        <f t="shared" si="1"/>
        <v>0</v>
      </c>
      <c r="AG7" s="31">
        <f t="shared" si="1"/>
        <v>0</v>
      </c>
      <c r="AH7" s="31">
        <f t="shared" si="1"/>
        <v>0</v>
      </c>
      <c r="AI7" s="31">
        <f t="shared" si="1"/>
        <v>0</v>
      </c>
      <c r="AJ7" s="24">
        <f>SUM(C7:AI7)</f>
        <v>1</v>
      </c>
      <c r="AK7" s="24"/>
    </row>
    <row r="8" spans="1:37" s="6" customFormat="1" ht="19.5" customHeight="1" x14ac:dyDescent="0.35">
      <c r="A8" s="52" t="s">
        <v>3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26"/>
    </row>
    <row r="9" spans="1:37" s="6" customFormat="1" ht="21.75" customHeight="1" x14ac:dyDescent="0.35">
      <c r="A9" s="53" t="s">
        <v>103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</row>
    <row r="10" spans="1:37" s="8" customFormat="1" ht="21.75" customHeight="1" x14ac:dyDescent="0.4">
      <c r="A10" s="9" t="s">
        <v>71</v>
      </c>
      <c r="B10" s="10" t="s">
        <v>64</v>
      </c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 spans="1:37" s="8" customFormat="1" ht="14.25" customHeight="1" x14ac:dyDescent="0.45">
      <c r="A11" s="7"/>
      <c r="B11" s="11"/>
      <c r="C11" s="16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55" t="s">
        <v>92</v>
      </c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K11" s="20"/>
    </row>
    <row r="12" spans="1:37" s="8" customFormat="1" ht="15.4" x14ac:dyDescent="0.45">
      <c r="A12" s="7"/>
      <c r="B12" s="56"/>
      <c r="C12" s="56"/>
      <c r="D12" s="56"/>
      <c r="E12" s="56"/>
      <c r="F12" s="29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43"/>
      <c r="T12" s="1"/>
      <c r="U12" s="56" t="s">
        <v>32</v>
      </c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K12" s="27"/>
    </row>
    <row r="13" spans="1:37" s="8" customFormat="1" ht="15.4" x14ac:dyDescent="0.45">
      <c r="A13" s="7"/>
      <c r="B13" s="48"/>
      <c r="C13" s="48"/>
      <c r="D13" s="48"/>
      <c r="E13" s="48"/>
      <c r="F13" s="2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2"/>
      <c r="T13" s="1"/>
      <c r="U13" s="1"/>
      <c r="V13" s="48" t="s">
        <v>33</v>
      </c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K13" s="25"/>
    </row>
    <row r="14" spans="1:37" s="8" customFormat="1" ht="15.4" x14ac:dyDescent="0.45">
      <c r="A14" s="7"/>
      <c r="B14" s="11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</row>
    <row r="15" spans="1:37" s="8" customFormat="1" ht="15.4" x14ac:dyDescent="0.45">
      <c r="A15" s="7"/>
      <c r="B15" s="11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</row>
    <row r="16" spans="1:37" s="8" customFormat="1" ht="15.4" x14ac:dyDescent="0.45">
      <c r="A16" s="7"/>
      <c r="B16" s="12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</row>
    <row r="17" spans="2:37" s="8" customFormat="1" x14ac:dyDescent="0.4">
      <c r="B17" s="13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2:37" s="8" customFormat="1" x14ac:dyDescent="0.4">
      <c r="B18" s="13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2:37" s="8" customFormat="1" x14ac:dyDescent="0.4">
      <c r="B19" s="13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2:37" s="8" customFormat="1" x14ac:dyDescent="0.4">
      <c r="B20" s="1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2:37" s="8" customFormat="1" x14ac:dyDescent="0.4">
      <c r="B21" s="13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</sheetData>
  <mergeCells count="29">
    <mergeCell ref="A1:AJ1"/>
    <mergeCell ref="A2:AJ2"/>
    <mergeCell ref="A3:A5"/>
    <mergeCell ref="B3:B5"/>
    <mergeCell ref="C3:AI3"/>
    <mergeCell ref="AJ3:AJ5"/>
    <mergeCell ref="AD4:AF4"/>
    <mergeCell ref="AG4:AI4"/>
    <mergeCell ref="AK3:AK5"/>
    <mergeCell ref="C4:E4"/>
    <mergeCell ref="F4:H4"/>
    <mergeCell ref="I4:K4"/>
    <mergeCell ref="L4:N4"/>
    <mergeCell ref="O4:Q4"/>
    <mergeCell ref="R4:T4"/>
    <mergeCell ref="U4:W4"/>
    <mergeCell ref="X4:Z4"/>
    <mergeCell ref="AA4:AC4"/>
    <mergeCell ref="B13:E13"/>
    <mergeCell ref="G13:R13"/>
    <mergeCell ref="V13:AH13"/>
    <mergeCell ref="A7:B7"/>
    <mergeCell ref="A8:AJ8"/>
    <mergeCell ref="A9:AK9"/>
    <mergeCell ref="C10:M10"/>
    <mergeCell ref="T11:AI11"/>
    <mergeCell ref="B12:E12"/>
    <mergeCell ref="G12:R12"/>
    <mergeCell ref="U12:AH12"/>
  </mergeCells>
  <pageMargins left="0.2" right="0.2" top="0.17" bottom="0.47" header="0.17" footer="0.2"/>
  <pageSetup paperSize="9" scale="67" fitToHeight="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K23"/>
  <sheetViews>
    <sheetView view="pageBreakPreview" zoomScale="85" zoomScaleNormal="80" zoomScaleSheetLayoutView="85" workbookViewId="0">
      <pane ySplit="5" topLeftCell="A6" activePane="bottomLeft" state="frozen"/>
      <selection pane="bottomLeft" activeCell="A12" sqref="A12"/>
    </sheetView>
  </sheetViews>
  <sheetFormatPr defaultColWidth="9.125" defaultRowHeight="13.15" x14ac:dyDescent="0.4"/>
  <cols>
    <col min="1" max="1" width="5.5625" style="1" customWidth="1"/>
    <col min="2" max="2" width="21.4375" style="2" customWidth="1"/>
    <col min="3" max="35" width="5.4375" style="1" customWidth="1"/>
    <col min="36" max="36" width="5.5625" style="1" customWidth="1"/>
    <col min="37" max="37" width="17.3125" style="1" hidden="1" customWidth="1"/>
    <col min="38" max="16384" width="9.125" style="1"/>
  </cols>
  <sheetData>
    <row r="1" spans="1:37" ht="28.5" customHeight="1" x14ac:dyDescent="0.6">
      <c r="A1" s="60" t="s">
        <v>74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22"/>
    </row>
    <row r="2" spans="1:37" ht="18" customHeight="1" x14ac:dyDescent="0.4">
      <c r="A2" s="61" t="s">
        <v>93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23"/>
    </row>
    <row r="3" spans="1:37" s="3" customFormat="1" ht="15" customHeight="1" x14ac:dyDescent="0.35">
      <c r="A3" s="58" t="s">
        <v>0</v>
      </c>
      <c r="B3" s="58" t="s">
        <v>1</v>
      </c>
      <c r="C3" s="58" t="s">
        <v>2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 t="s">
        <v>62</v>
      </c>
      <c r="AK3" s="58" t="s">
        <v>63</v>
      </c>
    </row>
    <row r="4" spans="1:37" ht="30.75" customHeight="1" x14ac:dyDescent="0.4">
      <c r="A4" s="58"/>
      <c r="B4" s="58"/>
      <c r="C4" s="59">
        <v>21</v>
      </c>
      <c r="D4" s="59"/>
      <c r="E4" s="59"/>
      <c r="F4" s="59">
        <v>22</v>
      </c>
      <c r="G4" s="59"/>
      <c r="H4" s="59"/>
      <c r="I4" s="59">
        <v>23</v>
      </c>
      <c r="J4" s="59"/>
      <c r="K4" s="59"/>
      <c r="L4" s="59">
        <v>24</v>
      </c>
      <c r="M4" s="59"/>
      <c r="N4" s="59"/>
      <c r="O4" s="59">
        <v>25</v>
      </c>
      <c r="P4" s="59"/>
      <c r="Q4" s="59"/>
      <c r="R4" s="59">
        <v>26</v>
      </c>
      <c r="S4" s="59"/>
      <c r="T4" s="59"/>
      <c r="U4" s="59">
        <v>27</v>
      </c>
      <c r="V4" s="59"/>
      <c r="W4" s="59"/>
      <c r="X4" s="59">
        <v>28</v>
      </c>
      <c r="Y4" s="59"/>
      <c r="Z4" s="59"/>
      <c r="AA4" s="59">
        <v>29</v>
      </c>
      <c r="AB4" s="59"/>
      <c r="AC4" s="59"/>
      <c r="AD4" s="59">
        <v>30</v>
      </c>
      <c r="AE4" s="59"/>
      <c r="AF4" s="59"/>
      <c r="AG4" s="59">
        <v>31</v>
      </c>
      <c r="AH4" s="59"/>
      <c r="AI4" s="59"/>
      <c r="AJ4" s="58"/>
      <c r="AK4" s="58"/>
    </row>
    <row r="5" spans="1:37" ht="26.25" customHeight="1" x14ac:dyDescent="0.4">
      <c r="A5" s="58"/>
      <c r="B5" s="58"/>
      <c r="C5" s="28" t="s">
        <v>58</v>
      </c>
      <c r="D5" s="28" t="s">
        <v>59</v>
      </c>
      <c r="E5" s="28" t="s">
        <v>60</v>
      </c>
      <c r="F5" s="28" t="s">
        <v>58</v>
      </c>
      <c r="G5" s="28" t="s">
        <v>59</v>
      </c>
      <c r="H5" s="28" t="s">
        <v>60</v>
      </c>
      <c r="I5" s="28" t="s">
        <v>58</v>
      </c>
      <c r="J5" s="28" t="s">
        <v>59</v>
      </c>
      <c r="K5" s="44" t="s">
        <v>60</v>
      </c>
      <c r="L5" s="44" t="s">
        <v>58</v>
      </c>
      <c r="M5" s="44" t="s">
        <v>59</v>
      </c>
      <c r="N5" s="44" t="s">
        <v>60</v>
      </c>
      <c r="O5" s="44" t="s">
        <v>58</v>
      </c>
      <c r="P5" s="44" t="s">
        <v>59</v>
      </c>
      <c r="Q5" s="44" t="s">
        <v>60</v>
      </c>
      <c r="R5" s="44" t="s">
        <v>58</v>
      </c>
      <c r="S5" s="44" t="s">
        <v>59</v>
      </c>
      <c r="T5" s="44" t="s">
        <v>60</v>
      </c>
      <c r="U5" s="44" t="s">
        <v>58</v>
      </c>
      <c r="V5" s="44" t="s">
        <v>59</v>
      </c>
      <c r="W5" s="44" t="s">
        <v>60</v>
      </c>
      <c r="X5" s="44" t="s">
        <v>58</v>
      </c>
      <c r="Y5" s="44" t="s">
        <v>59</v>
      </c>
      <c r="Z5" s="44" t="s">
        <v>60</v>
      </c>
      <c r="AA5" s="44" t="s">
        <v>58</v>
      </c>
      <c r="AB5" s="44" t="s">
        <v>59</v>
      </c>
      <c r="AC5" s="44" t="s">
        <v>60</v>
      </c>
      <c r="AD5" s="44" t="s">
        <v>58</v>
      </c>
      <c r="AE5" s="44" t="s">
        <v>59</v>
      </c>
      <c r="AF5" s="44" t="s">
        <v>60</v>
      </c>
      <c r="AG5" s="28"/>
      <c r="AH5" s="28" t="s">
        <v>59</v>
      </c>
      <c r="AI5" s="28" t="s">
        <v>60</v>
      </c>
      <c r="AJ5" s="58"/>
      <c r="AK5" s="58"/>
    </row>
    <row r="6" spans="1:37" s="4" customFormat="1" ht="19.5" customHeight="1" x14ac:dyDescent="0.4">
      <c r="A6" s="30">
        <v>1</v>
      </c>
      <c r="B6" s="39" t="s">
        <v>95</v>
      </c>
      <c r="C6" s="38"/>
      <c r="D6" s="35"/>
      <c r="E6" s="38"/>
      <c r="F6" s="34"/>
      <c r="G6" s="34"/>
      <c r="H6" s="38"/>
      <c r="I6" s="38"/>
      <c r="J6" s="34"/>
      <c r="K6" s="46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6"/>
      <c r="AC6" s="46"/>
      <c r="AD6" s="45"/>
      <c r="AE6" s="45"/>
      <c r="AF6" s="45"/>
      <c r="AG6" s="38"/>
      <c r="AH6" s="38" t="s">
        <v>70</v>
      </c>
      <c r="AI6" s="38"/>
      <c r="AJ6" s="18">
        <f>SUM(COUNTIF(A6:AI6, "/"),COUNTIF(A6:AI6,"1/2")*0.5)</f>
        <v>1</v>
      </c>
      <c r="AK6" s="19"/>
    </row>
    <row r="7" spans="1:37" s="4" customFormat="1" ht="19.5" customHeight="1" x14ac:dyDescent="0.4">
      <c r="A7" s="30">
        <v>2</v>
      </c>
      <c r="B7" s="39" t="s">
        <v>94</v>
      </c>
      <c r="C7" s="38"/>
      <c r="D7" s="35"/>
      <c r="E7" s="38"/>
      <c r="F7" s="34"/>
      <c r="G7" s="34"/>
      <c r="H7" s="38"/>
      <c r="I7" s="38"/>
      <c r="J7" s="34"/>
      <c r="K7" s="46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6"/>
      <c r="AC7" s="46"/>
      <c r="AD7" s="45"/>
      <c r="AE7" s="45"/>
      <c r="AF7" s="45"/>
      <c r="AG7" s="38" t="s">
        <v>70</v>
      </c>
      <c r="AH7" s="38"/>
      <c r="AI7" s="38"/>
      <c r="AJ7" s="18">
        <f>SUM(COUNTIF(A7:AI7, "/"),COUNTIF(A7:AI7,"1/2")*0.5)</f>
        <v>1</v>
      </c>
      <c r="AK7" s="19"/>
    </row>
    <row r="8" spans="1:37" s="4" customFormat="1" ht="19.5" customHeight="1" x14ac:dyDescent="0.35">
      <c r="A8" s="30">
        <v>3</v>
      </c>
      <c r="B8" s="40" t="s">
        <v>91</v>
      </c>
      <c r="C8" s="38" t="s">
        <v>70</v>
      </c>
      <c r="D8" s="38"/>
      <c r="E8" s="34"/>
      <c r="F8" s="38" t="s">
        <v>70</v>
      </c>
      <c r="G8" s="34"/>
      <c r="H8" s="38"/>
      <c r="I8" s="38"/>
      <c r="J8" s="34"/>
      <c r="K8" s="46"/>
      <c r="L8" s="45"/>
      <c r="M8" s="45"/>
      <c r="N8" s="45"/>
      <c r="O8" s="45"/>
      <c r="P8" s="45"/>
      <c r="Q8" s="45"/>
      <c r="R8" s="45"/>
      <c r="S8" s="46"/>
      <c r="T8" s="45"/>
      <c r="U8" s="45"/>
      <c r="V8" s="45"/>
      <c r="W8" s="45"/>
      <c r="X8" s="45"/>
      <c r="Y8" s="45"/>
      <c r="Z8" s="45"/>
      <c r="AA8" s="45"/>
      <c r="AB8" s="46" t="s">
        <v>70</v>
      </c>
      <c r="AC8" s="46"/>
      <c r="AD8" s="46"/>
      <c r="AE8" s="45" t="s">
        <v>70</v>
      </c>
      <c r="AF8" s="45"/>
      <c r="AG8" s="38"/>
      <c r="AH8" s="34"/>
      <c r="AI8" s="38"/>
      <c r="AJ8" s="18">
        <f t="shared" ref="AJ8" si="0">SUM(COUNTIF(A8:AI8, "/"),COUNTIF(A8:AI8,"1/2")*0.5)</f>
        <v>4</v>
      </c>
      <c r="AK8" s="19"/>
    </row>
    <row r="9" spans="1:37" s="4" customFormat="1" ht="19.5" customHeight="1" x14ac:dyDescent="0.35">
      <c r="A9" s="50" t="s">
        <v>3</v>
      </c>
      <c r="B9" s="51"/>
      <c r="C9" s="31">
        <f t="shared" ref="C9:AI9" si="1">SUM(COUNTIF(C6:C8, "/"),COUNTIF(C6:C8,"1/2")*0.5)</f>
        <v>1</v>
      </c>
      <c r="D9" s="31">
        <f t="shared" si="1"/>
        <v>0</v>
      </c>
      <c r="E9" s="31">
        <f t="shared" si="1"/>
        <v>0</v>
      </c>
      <c r="F9" s="31">
        <f t="shared" si="1"/>
        <v>1</v>
      </c>
      <c r="G9" s="31">
        <f t="shared" si="1"/>
        <v>0</v>
      </c>
      <c r="H9" s="31">
        <f t="shared" si="1"/>
        <v>0</v>
      </c>
      <c r="I9" s="31">
        <f t="shared" si="1"/>
        <v>0</v>
      </c>
      <c r="J9" s="31">
        <f t="shared" si="1"/>
        <v>0</v>
      </c>
      <c r="K9" s="31">
        <f t="shared" si="1"/>
        <v>0</v>
      </c>
      <c r="L9" s="31">
        <f t="shared" si="1"/>
        <v>0</v>
      </c>
      <c r="M9" s="31">
        <f t="shared" si="1"/>
        <v>0</v>
      </c>
      <c r="N9" s="31">
        <f t="shared" si="1"/>
        <v>0</v>
      </c>
      <c r="O9" s="31">
        <f t="shared" si="1"/>
        <v>0</v>
      </c>
      <c r="P9" s="31">
        <f t="shared" si="1"/>
        <v>0</v>
      </c>
      <c r="Q9" s="31">
        <f t="shared" si="1"/>
        <v>0</v>
      </c>
      <c r="R9" s="31">
        <f t="shared" si="1"/>
        <v>0</v>
      </c>
      <c r="S9" s="31">
        <f t="shared" si="1"/>
        <v>0</v>
      </c>
      <c r="T9" s="31">
        <f t="shared" si="1"/>
        <v>0</v>
      </c>
      <c r="U9" s="31">
        <f t="shared" si="1"/>
        <v>0</v>
      </c>
      <c r="V9" s="31">
        <f t="shared" si="1"/>
        <v>0</v>
      </c>
      <c r="W9" s="31">
        <f t="shared" si="1"/>
        <v>0</v>
      </c>
      <c r="X9" s="31">
        <f t="shared" si="1"/>
        <v>0</v>
      </c>
      <c r="Y9" s="31">
        <f t="shared" si="1"/>
        <v>0</v>
      </c>
      <c r="Z9" s="31">
        <f t="shared" si="1"/>
        <v>0</v>
      </c>
      <c r="AA9" s="31">
        <f t="shared" si="1"/>
        <v>0</v>
      </c>
      <c r="AB9" s="31">
        <f t="shared" si="1"/>
        <v>1</v>
      </c>
      <c r="AC9" s="31">
        <f t="shared" si="1"/>
        <v>0</v>
      </c>
      <c r="AD9" s="31">
        <f t="shared" si="1"/>
        <v>0</v>
      </c>
      <c r="AE9" s="31">
        <f t="shared" si="1"/>
        <v>1</v>
      </c>
      <c r="AF9" s="31">
        <f t="shared" si="1"/>
        <v>0</v>
      </c>
      <c r="AG9" s="31">
        <f t="shared" si="1"/>
        <v>1</v>
      </c>
      <c r="AH9" s="31">
        <f t="shared" si="1"/>
        <v>1</v>
      </c>
      <c r="AI9" s="31">
        <f t="shared" si="1"/>
        <v>0</v>
      </c>
      <c r="AJ9" s="24">
        <f>SUM(C9:AI9)</f>
        <v>6</v>
      </c>
      <c r="AK9" s="24"/>
    </row>
    <row r="10" spans="1:37" s="6" customFormat="1" ht="19.5" customHeight="1" x14ac:dyDescent="0.35">
      <c r="A10" s="52" t="s">
        <v>3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26"/>
    </row>
    <row r="11" spans="1:37" s="6" customFormat="1" ht="21.75" customHeight="1" x14ac:dyDescent="0.35">
      <c r="A11" s="53" t="s">
        <v>102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</row>
    <row r="12" spans="1:37" s="8" customFormat="1" ht="21.75" customHeight="1" x14ac:dyDescent="0.4">
      <c r="A12" s="9" t="s">
        <v>71</v>
      </c>
      <c r="B12" s="10" t="s">
        <v>64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 spans="1:37" s="8" customFormat="1" ht="14.25" customHeight="1" x14ac:dyDescent="0.45">
      <c r="A13" s="7"/>
      <c r="B13" s="11"/>
      <c r="C13" s="16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55" t="s">
        <v>96</v>
      </c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K13" s="20"/>
    </row>
    <row r="14" spans="1:37" s="8" customFormat="1" ht="15.4" x14ac:dyDescent="0.45">
      <c r="A14" s="7"/>
      <c r="B14" s="56"/>
      <c r="C14" s="56"/>
      <c r="D14" s="56"/>
      <c r="E14" s="56"/>
      <c r="F14" s="29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43"/>
      <c r="T14" s="1"/>
      <c r="U14" s="56" t="s">
        <v>32</v>
      </c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K14" s="27"/>
    </row>
    <row r="15" spans="1:37" s="8" customFormat="1" ht="15.4" x14ac:dyDescent="0.45">
      <c r="A15" s="7"/>
      <c r="B15" s="48"/>
      <c r="C15" s="48"/>
      <c r="D15" s="48"/>
      <c r="E15" s="48"/>
      <c r="F15" s="2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2"/>
      <c r="T15" s="1"/>
      <c r="U15" s="1"/>
      <c r="V15" s="48" t="s">
        <v>33</v>
      </c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K15" s="25"/>
    </row>
    <row r="16" spans="1:37" s="8" customFormat="1" ht="15.4" x14ac:dyDescent="0.45">
      <c r="A16" s="7"/>
      <c r="B16" s="11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</row>
    <row r="17" spans="1:37" s="8" customFormat="1" ht="15.4" x14ac:dyDescent="0.45">
      <c r="A17" s="7"/>
      <c r="B17" s="11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</row>
    <row r="18" spans="1:37" s="8" customFormat="1" ht="15.4" x14ac:dyDescent="0.45">
      <c r="A18" s="7"/>
      <c r="B18" s="12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</row>
    <row r="19" spans="1:37" s="8" customFormat="1" x14ac:dyDescent="0.4">
      <c r="B19" s="13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s="8" customFormat="1" x14ac:dyDescent="0.4">
      <c r="B20" s="1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s="8" customFormat="1" x14ac:dyDescent="0.4">
      <c r="B21" s="13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s="8" customFormat="1" x14ac:dyDescent="0.4">
      <c r="B22" s="13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s="8" customFormat="1" x14ac:dyDescent="0.4">
      <c r="B23" s="13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</sheetData>
  <mergeCells count="29">
    <mergeCell ref="A1:AJ1"/>
    <mergeCell ref="A2:AJ2"/>
    <mergeCell ref="A3:A5"/>
    <mergeCell ref="B3:B5"/>
    <mergeCell ref="C3:AI3"/>
    <mergeCell ref="AJ3:AJ5"/>
    <mergeCell ref="AD4:AF4"/>
    <mergeCell ref="AG4:AI4"/>
    <mergeCell ref="AK3:AK5"/>
    <mergeCell ref="C4:E4"/>
    <mergeCell ref="F4:H4"/>
    <mergeCell ref="I4:K4"/>
    <mergeCell ref="L4:N4"/>
    <mergeCell ref="O4:Q4"/>
    <mergeCell ref="R4:T4"/>
    <mergeCell ref="U4:W4"/>
    <mergeCell ref="X4:Z4"/>
    <mergeCell ref="AA4:AC4"/>
    <mergeCell ref="A9:B9"/>
    <mergeCell ref="A10:AJ10"/>
    <mergeCell ref="A11:AK11"/>
    <mergeCell ref="C12:M12"/>
    <mergeCell ref="T13:AI13"/>
    <mergeCell ref="B14:E14"/>
    <mergeCell ref="G14:R14"/>
    <mergeCell ref="U14:AH14"/>
    <mergeCell ref="B15:E15"/>
    <mergeCell ref="G15:R15"/>
    <mergeCell ref="V15:AH15"/>
  </mergeCells>
  <pageMargins left="0.2" right="0.2" top="0.17" bottom="0.47" header="0.17" footer="0.2"/>
  <pageSetup paperSize="9" scale="62" fitToHeight="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N89"/>
  <sheetViews>
    <sheetView view="pageBreakPreview" zoomScale="85" zoomScaleNormal="80" zoomScaleSheetLayoutView="85" workbookViewId="0">
      <pane ySplit="6" topLeftCell="A59" activePane="bottomLeft" state="frozen"/>
      <selection pane="bottomLeft" activeCell="S67" sqref="S67"/>
    </sheetView>
  </sheetViews>
  <sheetFormatPr defaultColWidth="9.125" defaultRowHeight="13.15" x14ac:dyDescent="0.4"/>
  <cols>
    <col min="1" max="1" width="5.5625" style="1" customWidth="1"/>
    <col min="2" max="2" width="21.4375" style="2" customWidth="1"/>
    <col min="3" max="32" width="5.4375" style="1" customWidth="1"/>
    <col min="33" max="35" width="5.4375" style="1" hidden="1" customWidth="1"/>
    <col min="36" max="36" width="5.5625" style="1" customWidth="1"/>
    <col min="37" max="37" width="17.3125" style="1" hidden="1" customWidth="1"/>
    <col min="38" max="16384" width="9.125" style="1"/>
  </cols>
  <sheetData>
    <row r="1" spans="1:40" ht="28.5" customHeight="1" x14ac:dyDescent="0.6">
      <c r="A1" s="60" t="s">
        <v>74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22"/>
    </row>
    <row r="2" spans="1:40" ht="18" customHeight="1" x14ac:dyDescent="0.4">
      <c r="A2" s="61" t="s">
        <v>98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23"/>
    </row>
    <row r="3" spans="1:40" s="3" customFormat="1" ht="15" customHeight="1" x14ac:dyDescent="0.35">
      <c r="A3" s="58" t="s">
        <v>0</v>
      </c>
      <c r="B3" s="58" t="s">
        <v>1</v>
      </c>
      <c r="C3" s="58" t="s">
        <v>2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 t="s">
        <v>62</v>
      </c>
      <c r="AK3" s="58" t="s">
        <v>63</v>
      </c>
    </row>
    <row r="4" spans="1:40" ht="30.75" customHeight="1" x14ac:dyDescent="0.4">
      <c r="A4" s="58"/>
      <c r="B4" s="58"/>
      <c r="C4" s="59">
        <v>1</v>
      </c>
      <c r="D4" s="59"/>
      <c r="E4" s="59"/>
      <c r="F4" s="59">
        <v>2</v>
      </c>
      <c r="G4" s="59"/>
      <c r="H4" s="59"/>
      <c r="I4" s="59">
        <v>3</v>
      </c>
      <c r="J4" s="59"/>
      <c r="K4" s="59"/>
      <c r="L4" s="59">
        <v>4</v>
      </c>
      <c r="M4" s="59"/>
      <c r="N4" s="59"/>
      <c r="O4" s="59">
        <v>5</v>
      </c>
      <c r="P4" s="59"/>
      <c r="Q4" s="59"/>
      <c r="R4" s="59">
        <v>6</v>
      </c>
      <c r="S4" s="59"/>
      <c r="T4" s="59"/>
      <c r="U4" s="59">
        <v>7</v>
      </c>
      <c r="V4" s="59"/>
      <c r="W4" s="59"/>
      <c r="X4" s="59">
        <v>8</v>
      </c>
      <c r="Y4" s="59"/>
      <c r="Z4" s="59"/>
      <c r="AA4" s="59">
        <v>9</v>
      </c>
      <c r="AB4" s="59"/>
      <c r="AC4" s="59"/>
      <c r="AD4" s="59">
        <v>10</v>
      </c>
      <c r="AE4" s="59"/>
      <c r="AF4" s="59"/>
      <c r="AG4" s="59">
        <v>31</v>
      </c>
      <c r="AH4" s="59"/>
      <c r="AI4" s="59"/>
      <c r="AJ4" s="58"/>
      <c r="AK4" s="58"/>
    </row>
    <row r="5" spans="1:40" ht="26.25" customHeight="1" x14ac:dyDescent="0.4">
      <c r="A5" s="58"/>
      <c r="B5" s="58"/>
      <c r="C5" s="28" t="s">
        <v>58</v>
      </c>
      <c r="D5" s="28" t="s">
        <v>59</v>
      </c>
      <c r="E5" s="28" t="s">
        <v>60</v>
      </c>
      <c r="F5" s="28" t="s">
        <v>58</v>
      </c>
      <c r="G5" s="28" t="s">
        <v>59</v>
      </c>
      <c r="H5" s="28" t="s">
        <v>60</v>
      </c>
      <c r="I5" s="28" t="s">
        <v>58</v>
      </c>
      <c r="J5" s="28" t="s">
        <v>59</v>
      </c>
      <c r="K5" s="44" t="s">
        <v>60</v>
      </c>
      <c r="L5" s="44" t="s">
        <v>58</v>
      </c>
      <c r="M5" s="44" t="s">
        <v>59</v>
      </c>
      <c r="N5" s="44" t="s">
        <v>60</v>
      </c>
      <c r="O5" s="44" t="s">
        <v>58</v>
      </c>
      <c r="P5" s="44" t="s">
        <v>59</v>
      </c>
      <c r="Q5" s="44" t="s">
        <v>60</v>
      </c>
      <c r="R5" s="44" t="s">
        <v>58</v>
      </c>
      <c r="S5" s="44" t="s">
        <v>59</v>
      </c>
      <c r="T5" s="44" t="s">
        <v>60</v>
      </c>
      <c r="U5" s="44" t="s">
        <v>58</v>
      </c>
      <c r="V5" s="44" t="s">
        <v>59</v>
      </c>
      <c r="W5" s="44" t="s">
        <v>60</v>
      </c>
      <c r="X5" s="44" t="s">
        <v>58</v>
      </c>
      <c r="Y5" s="44" t="s">
        <v>59</v>
      </c>
      <c r="Z5" s="44" t="s">
        <v>60</v>
      </c>
      <c r="AA5" s="44" t="s">
        <v>58</v>
      </c>
      <c r="AB5" s="44" t="s">
        <v>59</v>
      </c>
      <c r="AC5" s="44" t="s">
        <v>60</v>
      </c>
      <c r="AD5" s="44" t="s">
        <v>58</v>
      </c>
      <c r="AE5" s="44" t="s">
        <v>59</v>
      </c>
      <c r="AF5" s="44" t="s">
        <v>60</v>
      </c>
      <c r="AG5" s="28"/>
      <c r="AH5" s="28" t="s">
        <v>59</v>
      </c>
      <c r="AI5" s="28" t="s">
        <v>60</v>
      </c>
      <c r="AJ5" s="58"/>
      <c r="AK5" s="58"/>
    </row>
    <row r="6" spans="1:40" s="4" customFormat="1" ht="19.5" customHeight="1" x14ac:dyDescent="0.35">
      <c r="A6" s="33" t="s">
        <v>36</v>
      </c>
      <c r="B6" s="62" t="s">
        <v>35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21"/>
      <c r="AK6" s="21"/>
    </row>
    <row r="7" spans="1:40" s="4" customFormat="1" ht="19.5" customHeight="1" x14ac:dyDescent="0.45">
      <c r="A7" s="30">
        <v>1</v>
      </c>
      <c r="B7" s="41" t="s">
        <v>15</v>
      </c>
      <c r="C7" s="37"/>
      <c r="D7" s="38"/>
      <c r="E7" s="38"/>
      <c r="F7" s="38" t="s">
        <v>70</v>
      </c>
      <c r="G7" s="38" t="s">
        <v>70</v>
      </c>
      <c r="H7" s="38"/>
      <c r="I7" s="38"/>
      <c r="J7" s="34" t="s">
        <v>70</v>
      </c>
      <c r="K7" s="45" t="s">
        <v>70</v>
      </c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6"/>
      <c r="AC7" s="46"/>
      <c r="AD7" s="45"/>
      <c r="AE7" s="45"/>
      <c r="AF7" s="45"/>
      <c r="AG7" s="38"/>
      <c r="AH7" s="38"/>
      <c r="AI7" s="38"/>
      <c r="AJ7" s="18">
        <f t="shared" ref="AJ7:AJ74" si="0">SUM(COUNTIF(A7:AI7, "/"),COUNTIF(A7:AI7,"1/2")*0.5)</f>
        <v>4</v>
      </c>
      <c r="AK7" s="19"/>
    </row>
    <row r="8" spans="1:40" s="4" customFormat="1" ht="19.5" customHeight="1" x14ac:dyDescent="0.45">
      <c r="A8" s="30">
        <v>2</v>
      </c>
      <c r="B8" s="41" t="s">
        <v>6</v>
      </c>
      <c r="C8" s="38"/>
      <c r="D8" s="38"/>
      <c r="E8" s="38"/>
      <c r="F8" s="38" t="s">
        <v>70</v>
      </c>
      <c r="G8" s="38" t="s">
        <v>70</v>
      </c>
      <c r="H8" s="38"/>
      <c r="I8" s="38"/>
      <c r="J8" s="34" t="s">
        <v>70</v>
      </c>
      <c r="K8" s="45" t="s">
        <v>70</v>
      </c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6"/>
      <c r="AC8" s="46"/>
      <c r="AD8" s="45"/>
      <c r="AE8" s="45"/>
      <c r="AF8" s="45"/>
      <c r="AG8" s="38"/>
      <c r="AH8" s="38"/>
      <c r="AI8" s="38"/>
      <c r="AJ8" s="18">
        <f t="shared" si="0"/>
        <v>4</v>
      </c>
      <c r="AK8" s="19"/>
    </row>
    <row r="9" spans="1:40" s="4" customFormat="1" ht="19.5" customHeight="1" x14ac:dyDescent="0.35">
      <c r="A9" s="32" t="s">
        <v>34</v>
      </c>
      <c r="B9" s="63" t="s">
        <v>65</v>
      </c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18">
        <f t="shared" si="0"/>
        <v>0</v>
      </c>
      <c r="AK9" s="19"/>
    </row>
    <row r="10" spans="1:40" s="4" customFormat="1" ht="19.5" customHeight="1" x14ac:dyDescent="0.45">
      <c r="A10" s="30">
        <v>3</v>
      </c>
      <c r="B10" s="41" t="s">
        <v>66</v>
      </c>
      <c r="C10" s="38"/>
      <c r="D10" s="35" t="s">
        <v>70</v>
      </c>
      <c r="E10" s="38"/>
      <c r="F10" s="38" t="s">
        <v>70</v>
      </c>
      <c r="G10" s="34" t="s">
        <v>70</v>
      </c>
      <c r="H10" s="38" t="s">
        <v>70</v>
      </c>
      <c r="I10" s="38"/>
      <c r="J10" s="34" t="s">
        <v>70</v>
      </c>
      <c r="K10" s="45" t="s">
        <v>70</v>
      </c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6"/>
      <c r="AC10" s="46"/>
      <c r="AD10" s="45"/>
      <c r="AE10" s="45"/>
      <c r="AF10" s="45"/>
      <c r="AG10" s="38"/>
      <c r="AH10" s="38"/>
      <c r="AI10" s="38"/>
      <c r="AJ10" s="18">
        <f t="shared" si="0"/>
        <v>6</v>
      </c>
      <c r="AK10" s="19"/>
    </row>
    <row r="11" spans="1:40" s="4" customFormat="1" ht="19.5" customHeight="1" x14ac:dyDescent="0.35">
      <c r="A11" s="32" t="s">
        <v>38</v>
      </c>
      <c r="B11" s="63" t="s">
        <v>37</v>
      </c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18"/>
      <c r="AK11" s="19"/>
    </row>
    <row r="12" spans="1:40" s="4" customFormat="1" ht="19.5" customHeight="1" x14ac:dyDescent="0.4">
      <c r="A12" s="30">
        <v>4</v>
      </c>
      <c r="B12" s="39" t="s">
        <v>7</v>
      </c>
      <c r="C12" s="38"/>
      <c r="D12" s="35"/>
      <c r="E12" s="34"/>
      <c r="F12" s="38" t="s">
        <v>70</v>
      </c>
      <c r="G12" s="34" t="s">
        <v>70</v>
      </c>
      <c r="H12" s="38" t="s">
        <v>70</v>
      </c>
      <c r="I12" s="38"/>
      <c r="J12" s="34" t="s">
        <v>70</v>
      </c>
      <c r="K12" s="45" t="s">
        <v>70</v>
      </c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6"/>
      <c r="AC12" s="46"/>
      <c r="AD12" s="45"/>
      <c r="AE12" s="45"/>
      <c r="AF12" s="45"/>
      <c r="AG12" s="38"/>
      <c r="AH12" s="34"/>
      <c r="AI12" s="38"/>
      <c r="AJ12" s="18">
        <f t="shared" si="0"/>
        <v>5</v>
      </c>
      <c r="AK12" s="19"/>
    </row>
    <row r="13" spans="1:40" s="4" customFormat="1" ht="19.5" customHeight="1" x14ac:dyDescent="0.4">
      <c r="A13" s="30">
        <v>5</v>
      </c>
      <c r="B13" s="39" t="s">
        <v>86</v>
      </c>
      <c r="C13" s="38"/>
      <c r="D13" s="35"/>
      <c r="E13" s="34"/>
      <c r="F13" s="38" t="s">
        <v>70</v>
      </c>
      <c r="G13" s="34" t="s">
        <v>70</v>
      </c>
      <c r="H13" s="38"/>
      <c r="I13" s="38"/>
      <c r="J13" s="34" t="s">
        <v>70</v>
      </c>
      <c r="K13" s="45" t="s">
        <v>70</v>
      </c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6"/>
      <c r="AC13" s="46"/>
      <c r="AD13" s="45"/>
      <c r="AE13" s="45"/>
      <c r="AF13" s="45"/>
      <c r="AG13" s="38"/>
      <c r="AH13" s="34"/>
      <c r="AI13" s="38"/>
      <c r="AJ13" s="18">
        <f t="shared" si="0"/>
        <v>4</v>
      </c>
      <c r="AK13" s="19"/>
    </row>
    <row r="14" spans="1:40" s="4" customFormat="1" ht="19.5" customHeight="1" x14ac:dyDescent="0.4">
      <c r="A14" s="30">
        <v>6</v>
      </c>
      <c r="B14" s="39" t="s">
        <v>95</v>
      </c>
      <c r="C14" s="38"/>
      <c r="D14" s="35"/>
      <c r="E14" s="38"/>
      <c r="F14" s="38" t="s">
        <v>70</v>
      </c>
      <c r="G14" s="38" t="s">
        <v>70</v>
      </c>
      <c r="H14" s="38"/>
      <c r="I14" s="38"/>
      <c r="J14" s="34" t="s">
        <v>70</v>
      </c>
      <c r="K14" s="46" t="s">
        <v>70</v>
      </c>
      <c r="L14" s="45"/>
      <c r="M14" s="45"/>
      <c r="N14" s="45"/>
      <c r="O14" s="45"/>
      <c r="P14" s="45"/>
      <c r="Q14" s="45"/>
      <c r="R14" s="45"/>
      <c r="S14" s="46"/>
      <c r="T14" s="46"/>
      <c r="U14" s="45"/>
      <c r="V14" s="45"/>
      <c r="W14" s="45"/>
      <c r="X14" s="45"/>
      <c r="Y14" s="45"/>
      <c r="Z14" s="45"/>
      <c r="AA14" s="45"/>
      <c r="AB14" s="46"/>
      <c r="AC14" s="46"/>
      <c r="AD14" s="45"/>
      <c r="AE14" s="45"/>
      <c r="AF14" s="45"/>
      <c r="AG14" s="38"/>
      <c r="AH14" s="38"/>
      <c r="AI14" s="38"/>
      <c r="AJ14" s="18">
        <f t="shared" si="0"/>
        <v>4</v>
      </c>
      <c r="AK14" s="19"/>
      <c r="AN14" s="5"/>
    </row>
    <row r="15" spans="1:40" s="4" customFormat="1" ht="19.5" customHeight="1" x14ac:dyDescent="0.4">
      <c r="A15" s="30">
        <v>7</v>
      </c>
      <c r="B15" s="39" t="s">
        <v>99</v>
      </c>
      <c r="C15" s="38"/>
      <c r="D15" s="35"/>
      <c r="E15" s="38"/>
      <c r="F15" s="38" t="s">
        <v>70</v>
      </c>
      <c r="G15" s="38" t="s">
        <v>70</v>
      </c>
      <c r="H15" s="38"/>
      <c r="I15" s="38"/>
      <c r="J15" s="34" t="s">
        <v>70</v>
      </c>
      <c r="K15" s="46" t="s">
        <v>70</v>
      </c>
      <c r="L15" s="45"/>
      <c r="M15" s="45"/>
      <c r="N15" s="45"/>
      <c r="O15" s="45"/>
      <c r="P15" s="45"/>
      <c r="Q15" s="45"/>
      <c r="R15" s="45"/>
      <c r="S15" s="46"/>
      <c r="T15" s="46"/>
      <c r="U15" s="45"/>
      <c r="V15" s="45"/>
      <c r="W15" s="45"/>
      <c r="X15" s="45"/>
      <c r="Y15" s="45"/>
      <c r="Z15" s="45"/>
      <c r="AA15" s="45"/>
      <c r="AB15" s="46"/>
      <c r="AC15" s="46"/>
      <c r="AD15" s="45"/>
      <c r="AE15" s="45"/>
      <c r="AF15" s="45"/>
      <c r="AG15" s="38"/>
      <c r="AH15" s="38"/>
      <c r="AI15" s="38"/>
      <c r="AJ15" s="18">
        <f t="shared" si="0"/>
        <v>4</v>
      </c>
      <c r="AK15" s="19"/>
      <c r="AN15" s="47"/>
    </row>
    <row r="16" spans="1:40" s="4" customFormat="1" ht="19.5" customHeight="1" x14ac:dyDescent="0.4">
      <c r="A16" s="30">
        <v>8</v>
      </c>
      <c r="B16" s="39" t="s">
        <v>14</v>
      </c>
      <c r="C16" s="38"/>
      <c r="D16" s="38"/>
      <c r="E16" s="38"/>
      <c r="F16" s="38" t="s">
        <v>70</v>
      </c>
      <c r="G16" s="38" t="s">
        <v>70</v>
      </c>
      <c r="H16" s="38"/>
      <c r="I16" s="38"/>
      <c r="J16" s="38" t="s">
        <v>70</v>
      </c>
      <c r="K16" s="45" t="s">
        <v>70</v>
      </c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6"/>
      <c r="AC16" s="46"/>
      <c r="AD16" s="45"/>
      <c r="AE16" s="45"/>
      <c r="AF16" s="45"/>
      <c r="AG16" s="38"/>
      <c r="AH16" s="38"/>
      <c r="AI16" s="38"/>
      <c r="AJ16" s="18">
        <f t="shared" si="0"/>
        <v>4</v>
      </c>
      <c r="AK16" s="19"/>
    </row>
    <row r="17" spans="1:37" s="4" customFormat="1" ht="19.5" customHeight="1" x14ac:dyDescent="0.4">
      <c r="A17" s="30">
        <v>9</v>
      </c>
      <c r="B17" s="39" t="s">
        <v>72</v>
      </c>
      <c r="C17" s="38"/>
      <c r="D17" s="38"/>
      <c r="E17" s="34"/>
      <c r="F17" s="38" t="s">
        <v>70</v>
      </c>
      <c r="G17" s="38" t="s">
        <v>70</v>
      </c>
      <c r="H17" s="38" t="s">
        <v>70</v>
      </c>
      <c r="I17" s="38"/>
      <c r="J17" s="34" t="s">
        <v>70</v>
      </c>
      <c r="K17" s="46" t="s">
        <v>70</v>
      </c>
      <c r="L17" s="45"/>
      <c r="M17" s="45"/>
      <c r="N17" s="45"/>
      <c r="O17" s="45"/>
      <c r="P17" s="45"/>
      <c r="Q17" s="45"/>
      <c r="R17" s="45"/>
      <c r="S17" s="46"/>
      <c r="T17" s="45"/>
      <c r="U17" s="45"/>
      <c r="V17" s="45"/>
      <c r="W17" s="45"/>
      <c r="X17" s="45"/>
      <c r="Y17" s="45"/>
      <c r="Z17" s="45"/>
      <c r="AA17" s="45"/>
      <c r="AB17" s="46"/>
      <c r="AC17" s="46"/>
      <c r="AD17" s="45"/>
      <c r="AE17" s="45"/>
      <c r="AF17" s="45"/>
      <c r="AG17" s="38"/>
      <c r="AH17" s="34"/>
      <c r="AI17" s="38"/>
      <c r="AJ17" s="18">
        <f>SUM(COUNTIF(A17:AI17, "/"),COUNTIF(A17:AI17,"1/2")*0.5)</f>
        <v>5</v>
      </c>
      <c r="AK17" s="19"/>
    </row>
    <row r="18" spans="1:37" s="4" customFormat="1" ht="19.5" customHeight="1" x14ac:dyDescent="0.35">
      <c r="A18" s="32" t="s">
        <v>39</v>
      </c>
      <c r="B18" s="63" t="s">
        <v>42</v>
      </c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18"/>
      <c r="AK18" s="19"/>
    </row>
    <row r="19" spans="1:37" s="4" customFormat="1" ht="19.5" customHeight="1" x14ac:dyDescent="0.4">
      <c r="A19" s="30">
        <v>10</v>
      </c>
      <c r="B19" s="36" t="s">
        <v>8</v>
      </c>
      <c r="C19" s="38" t="s">
        <v>70</v>
      </c>
      <c r="D19" s="38"/>
      <c r="E19" s="38"/>
      <c r="F19" s="38" t="s">
        <v>70</v>
      </c>
      <c r="G19" s="34" t="s">
        <v>70</v>
      </c>
      <c r="H19" s="38" t="s">
        <v>70</v>
      </c>
      <c r="I19" s="38"/>
      <c r="J19" s="34" t="s">
        <v>70</v>
      </c>
      <c r="K19" s="45" t="s">
        <v>70</v>
      </c>
      <c r="L19" s="46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6"/>
      <c r="AD19" s="45"/>
      <c r="AE19" s="45"/>
      <c r="AF19" s="45"/>
      <c r="AG19" s="38"/>
      <c r="AH19" s="38"/>
      <c r="AI19" s="38"/>
      <c r="AJ19" s="18">
        <f t="shared" si="0"/>
        <v>6</v>
      </c>
      <c r="AK19" s="19"/>
    </row>
    <row r="20" spans="1:37" s="4" customFormat="1" ht="19.5" customHeight="1" x14ac:dyDescent="0.4">
      <c r="A20" s="30">
        <v>11</v>
      </c>
      <c r="B20" s="36" t="s">
        <v>52</v>
      </c>
      <c r="C20" s="34"/>
      <c r="D20" s="34"/>
      <c r="E20" s="34"/>
      <c r="F20" s="34" t="s">
        <v>70</v>
      </c>
      <c r="G20" s="34" t="s">
        <v>70</v>
      </c>
      <c r="H20" s="38" t="s">
        <v>70</v>
      </c>
      <c r="I20" s="38" t="s">
        <v>70</v>
      </c>
      <c r="J20" s="34" t="s">
        <v>70</v>
      </c>
      <c r="K20" s="46" t="s">
        <v>70</v>
      </c>
      <c r="L20" s="46"/>
      <c r="M20" s="45"/>
      <c r="N20" s="45"/>
      <c r="O20" s="45"/>
      <c r="P20" s="45"/>
      <c r="Q20" s="45"/>
      <c r="R20" s="45"/>
      <c r="S20" s="46"/>
      <c r="T20" s="46"/>
      <c r="U20" s="45"/>
      <c r="V20" s="45"/>
      <c r="W20" s="45"/>
      <c r="X20" s="46"/>
      <c r="Y20" s="45"/>
      <c r="Z20" s="45"/>
      <c r="AA20" s="46"/>
      <c r="AB20" s="46"/>
      <c r="AC20" s="46"/>
      <c r="AD20" s="46"/>
      <c r="AE20" s="45"/>
      <c r="AF20" s="45"/>
      <c r="AG20" s="38"/>
      <c r="AH20" s="38"/>
      <c r="AI20" s="38"/>
      <c r="AJ20" s="18">
        <f t="shared" si="0"/>
        <v>6</v>
      </c>
      <c r="AK20" s="19"/>
    </row>
    <row r="21" spans="1:37" s="4" customFormat="1" ht="19.5" customHeight="1" x14ac:dyDescent="0.4">
      <c r="A21" s="30">
        <v>12</v>
      </c>
      <c r="B21" s="36" t="s">
        <v>75</v>
      </c>
      <c r="C21" s="34" t="s">
        <v>70</v>
      </c>
      <c r="D21" s="34"/>
      <c r="E21" s="34"/>
      <c r="F21" s="34" t="s">
        <v>70</v>
      </c>
      <c r="G21" s="34" t="s">
        <v>70</v>
      </c>
      <c r="H21" s="38" t="s">
        <v>70</v>
      </c>
      <c r="I21" s="38" t="s">
        <v>70</v>
      </c>
      <c r="J21" s="34" t="s">
        <v>70</v>
      </c>
      <c r="K21" s="46" t="s">
        <v>70</v>
      </c>
      <c r="L21" s="46"/>
      <c r="M21" s="45"/>
      <c r="N21" s="45"/>
      <c r="O21" s="45"/>
      <c r="P21" s="45"/>
      <c r="Q21" s="45"/>
      <c r="R21" s="45"/>
      <c r="S21" s="46"/>
      <c r="T21" s="46"/>
      <c r="U21" s="45"/>
      <c r="V21" s="45"/>
      <c r="W21" s="45"/>
      <c r="X21" s="46"/>
      <c r="Y21" s="45"/>
      <c r="Z21" s="45"/>
      <c r="AA21" s="46"/>
      <c r="AB21" s="46"/>
      <c r="AC21" s="46"/>
      <c r="AD21" s="46"/>
      <c r="AE21" s="45"/>
      <c r="AF21" s="45"/>
      <c r="AG21" s="38"/>
      <c r="AH21" s="38"/>
      <c r="AI21" s="38"/>
      <c r="AJ21" s="18">
        <f t="shared" si="0"/>
        <v>7</v>
      </c>
      <c r="AK21" s="19"/>
    </row>
    <row r="22" spans="1:37" s="4" customFormat="1" ht="19.5" customHeight="1" x14ac:dyDescent="0.4">
      <c r="A22" s="30">
        <v>13</v>
      </c>
      <c r="B22" s="36" t="s">
        <v>87</v>
      </c>
      <c r="C22" s="38" t="s">
        <v>70</v>
      </c>
      <c r="D22" s="38" t="s">
        <v>70</v>
      </c>
      <c r="E22" s="38"/>
      <c r="F22" s="38" t="s">
        <v>70</v>
      </c>
      <c r="G22" s="38" t="s">
        <v>70</v>
      </c>
      <c r="H22" s="38" t="s">
        <v>70</v>
      </c>
      <c r="I22" s="38" t="s">
        <v>70</v>
      </c>
      <c r="J22" s="38" t="s">
        <v>70</v>
      </c>
      <c r="K22" s="45" t="s">
        <v>70</v>
      </c>
      <c r="L22" s="45"/>
      <c r="M22" s="45"/>
      <c r="N22" s="45"/>
      <c r="O22" s="45"/>
      <c r="P22" s="45"/>
      <c r="Q22" s="45"/>
      <c r="R22" s="45"/>
      <c r="S22" s="46"/>
      <c r="T22" s="46"/>
      <c r="U22" s="45"/>
      <c r="V22" s="45"/>
      <c r="W22" s="45"/>
      <c r="X22" s="46"/>
      <c r="Y22" s="45"/>
      <c r="Z22" s="45"/>
      <c r="AA22" s="46"/>
      <c r="AB22" s="46"/>
      <c r="AC22" s="46"/>
      <c r="AD22" s="46"/>
      <c r="AE22" s="45"/>
      <c r="AF22" s="45"/>
      <c r="AG22" s="38"/>
      <c r="AH22" s="38"/>
      <c r="AI22" s="38"/>
      <c r="AJ22" s="18">
        <f t="shared" si="0"/>
        <v>8</v>
      </c>
      <c r="AK22" s="19"/>
    </row>
    <row r="23" spans="1:37" s="4" customFormat="1" ht="19.5" customHeight="1" x14ac:dyDescent="0.35">
      <c r="A23" s="32" t="s">
        <v>40</v>
      </c>
      <c r="B23" s="63" t="s">
        <v>43</v>
      </c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18">
        <f t="shared" si="0"/>
        <v>0</v>
      </c>
      <c r="AK23" s="19"/>
    </row>
    <row r="24" spans="1:37" s="4" customFormat="1" ht="19.5" customHeight="1" x14ac:dyDescent="0.4">
      <c r="A24" s="30">
        <v>15</v>
      </c>
      <c r="B24" s="39" t="s">
        <v>28</v>
      </c>
      <c r="C24" s="38" t="s">
        <v>70</v>
      </c>
      <c r="D24" s="35"/>
      <c r="E24" s="38"/>
      <c r="F24" s="38" t="s">
        <v>70</v>
      </c>
      <c r="G24" s="34" t="s">
        <v>70</v>
      </c>
      <c r="H24" s="38" t="s">
        <v>70</v>
      </c>
      <c r="I24" s="38" t="s">
        <v>70</v>
      </c>
      <c r="J24" s="34" t="s">
        <v>70</v>
      </c>
      <c r="K24" s="46" t="s">
        <v>70</v>
      </c>
      <c r="L24" s="45"/>
      <c r="M24" s="45"/>
      <c r="N24" s="45"/>
      <c r="O24" s="45"/>
      <c r="P24" s="45"/>
      <c r="Q24" s="45"/>
      <c r="R24" s="45"/>
      <c r="S24" s="45"/>
      <c r="T24" s="45"/>
      <c r="U24" s="46"/>
      <c r="V24" s="45"/>
      <c r="W24" s="45"/>
      <c r="X24" s="45"/>
      <c r="Y24" s="45"/>
      <c r="Z24" s="45"/>
      <c r="AA24" s="46"/>
      <c r="AB24" s="46"/>
      <c r="AC24" s="46"/>
      <c r="AD24" s="46"/>
      <c r="AE24" s="45"/>
      <c r="AF24" s="45"/>
      <c r="AG24" s="45"/>
      <c r="AH24" s="38"/>
      <c r="AI24" s="38"/>
      <c r="AJ24" s="18">
        <f>SUM(COUNTIF(A24:AI24, "/"),COUNTIF(A24:AI24,"1/2")*0.5)</f>
        <v>7</v>
      </c>
      <c r="AK24" s="19"/>
    </row>
    <row r="25" spans="1:37" s="4" customFormat="1" ht="19.5" customHeight="1" x14ac:dyDescent="0.4">
      <c r="A25" s="30">
        <v>16</v>
      </c>
      <c r="B25" s="39" t="s">
        <v>10</v>
      </c>
      <c r="C25" s="38" t="s">
        <v>70</v>
      </c>
      <c r="D25" s="35" t="s">
        <v>70</v>
      </c>
      <c r="E25" s="38"/>
      <c r="F25" s="34" t="s">
        <v>70</v>
      </c>
      <c r="G25" s="34" t="s">
        <v>70</v>
      </c>
      <c r="H25" s="38"/>
      <c r="I25" s="34" t="s">
        <v>70</v>
      </c>
      <c r="J25" s="34" t="s">
        <v>70</v>
      </c>
      <c r="K25" s="45" t="s">
        <v>70</v>
      </c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6"/>
      <c r="AC25" s="46"/>
      <c r="AD25" s="46"/>
      <c r="AE25" s="45"/>
      <c r="AF25" s="45"/>
      <c r="AG25" s="45"/>
      <c r="AH25" s="38"/>
      <c r="AI25" s="38"/>
      <c r="AJ25" s="18">
        <f t="shared" si="0"/>
        <v>7</v>
      </c>
      <c r="AK25" s="19"/>
    </row>
    <row r="26" spans="1:37" s="4" customFormat="1" ht="19.5" customHeight="1" x14ac:dyDescent="0.4">
      <c r="A26" s="30">
        <v>17</v>
      </c>
      <c r="B26" s="39" t="s">
        <v>29</v>
      </c>
      <c r="C26" s="38" t="s">
        <v>70</v>
      </c>
      <c r="D26" s="35" t="s">
        <v>70</v>
      </c>
      <c r="E26" s="38"/>
      <c r="F26" s="34" t="s">
        <v>70</v>
      </c>
      <c r="G26" s="34" t="s">
        <v>70</v>
      </c>
      <c r="H26" s="38"/>
      <c r="I26" s="34" t="s">
        <v>70</v>
      </c>
      <c r="J26" s="34" t="s">
        <v>70</v>
      </c>
      <c r="K26" s="45" t="s">
        <v>70</v>
      </c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6"/>
      <c r="AB26" s="46"/>
      <c r="AC26" s="46"/>
      <c r="AD26" s="46"/>
      <c r="AE26" s="45"/>
      <c r="AF26" s="45"/>
      <c r="AG26" s="45"/>
      <c r="AH26" s="34"/>
      <c r="AI26" s="38"/>
      <c r="AJ26" s="18">
        <f t="shared" si="0"/>
        <v>7</v>
      </c>
      <c r="AK26" s="19"/>
    </row>
    <row r="27" spans="1:37" s="4" customFormat="1" ht="19.5" customHeight="1" x14ac:dyDescent="0.4">
      <c r="A27" s="30">
        <v>18</v>
      </c>
      <c r="B27" s="39" t="s">
        <v>67</v>
      </c>
      <c r="C27" s="38" t="s">
        <v>70</v>
      </c>
      <c r="D27" s="35"/>
      <c r="E27" s="38"/>
      <c r="F27" s="38" t="s">
        <v>70</v>
      </c>
      <c r="G27" s="34" t="s">
        <v>70</v>
      </c>
      <c r="H27" s="38" t="s">
        <v>70</v>
      </c>
      <c r="I27" s="38" t="s">
        <v>70</v>
      </c>
      <c r="J27" s="34" t="s">
        <v>70</v>
      </c>
      <c r="K27" s="46" t="s">
        <v>70</v>
      </c>
      <c r="L27" s="46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6"/>
      <c r="AB27" s="46"/>
      <c r="AC27" s="46"/>
      <c r="AD27" s="46"/>
      <c r="AE27" s="45"/>
      <c r="AF27" s="45"/>
      <c r="AG27" s="45"/>
      <c r="AH27" s="38"/>
      <c r="AI27" s="38"/>
      <c r="AJ27" s="18">
        <f t="shared" si="0"/>
        <v>7</v>
      </c>
      <c r="AK27" s="19"/>
    </row>
    <row r="28" spans="1:37" s="4" customFormat="1" ht="19.5" customHeight="1" x14ac:dyDescent="0.4">
      <c r="A28" s="30">
        <v>19</v>
      </c>
      <c r="B28" s="39" t="s">
        <v>26</v>
      </c>
      <c r="C28" s="38" t="s">
        <v>70</v>
      </c>
      <c r="D28" s="35" t="s">
        <v>70</v>
      </c>
      <c r="E28" s="38"/>
      <c r="F28" s="38" t="s">
        <v>70</v>
      </c>
      <c r="G28" s="34" t="s">
        <v>70</v>
      </c>
      <c r="H28" s="38" t="s">
        <v>70</v>
      </c>
      <c r="I28" s="38" t="s">
        <v>70</v>
      </c>
      <c r="J28" s="34" t="s">
        <v>70</v>
      </c>
      <c r="K28" s="46" t="s">
        <v>70</v>
      </c>
      <c r="L28" s="46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6"/>
      <c r="AB28" s="46"/>
      <c r="AC28" s="46"/>
      <c r="AD28" s="46"/>
      <c r="AE28" s="45"/>
      <c r="AF28" s="45"/>
      <c r="AG28" s="45"/>
      <c r="AH28" s="38"/>
      <c r="AI28" s="38"/>
      <c r="AJ28" s="18">
        <f t="shared" si="0"/>
        <v>8</v>
      </c>
      <c r="AK28" s="19"/>
    </row>
    <row r="29" spans="1:37" s="4" customFormat="1" ht="19.5" customHeight="1" x14ac:dyDescent="0.4">
      <c r="A29" s="30">
        <v>20</v>
      </c>
      <c r="B29" s="39" t="s">
        <v>11</v>
      </c>
      <c r="C29" s="38" t="s">
        <v>70</v>
      </c>
      <c r="D29" s="35"/>
      <c r="E29" s="38"/>
      <c r="F29" s="38" t="s">
        <v>70</v>
      </c>
      <c r="G29" s="34" t="s">
        <v>70</v>
      </c>
      <c r="H29" s="38" t="s">
        <v>70</v>
      </c>
      <c r="I29" s="38" t="s">
        <v>70</v>
      </c>
      <c r="J29" s="34" t="s">
        <v>70</v>
      </c>
      <c r="K29" s="46" t="s">
        <v>70</v>
      </c>
      <c r="L29" s="46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6"/>
      <c r="AC29" s="46"/>
      <c r="AD29" s="46"/>
      <c r="AE29" s="45"/>
      <c r="AF29" s="45"/>
      <c r="AG29" s="45"/>
      <c r="AH29" s="38"/>
      <c r="AI29" s="38"/>
      <c r="AJ29" s="18">
        <f t="shared" si="0"/>
        <v>7</v>
      </c>
      <c r="AK29" s="19"/>
    </row>
    <row r="30" spans="1:37" s="4" customFormat="1" ht="19.5" customHeight="1" x14ac:dyDescent="0.4">
      <c r="A30" s="30">
        <v>21</v>
      </c>
      <c r="B30" s="39" t="s">
        <v>73</v>
      </c>
      <c r="C30" s="38" t="s">
        <v>70</v>
      </c>
      <c r="D30" s="35" t="s">
        <v>70</v>
      </c>
      <c r="E30" s="34"/>
      <c r="F30" s="34" t="s">
        <v>70</v>
      </c>
      <c r="G30" s="34" t="s">
        <v>70</v>
      </c>
      <c r="H30" s="38" t="s">
        <v>70</v>
      </c>
      <c r="I30" s="38" t="s">
        <v>70</v>
      </c>
      <c r="J30" s="34" t="s">
        <v>70</v>
      </c>
      <c r="K30" s="46" t="s">
        <v>70</v>
      </c>
      <c r="L30" s="45"/>
      <c r="M30" s="45"/>
      <c r="N30" s="45"/>
      <c r="O30" s="45"/>
      <c r="P30" s="45"/>
      <c r="Q30" s="45"/>
      <c r="R30" s="45"/>
      <c r="S30" s="45"/>
      <c r="T30" s="45"/>
      <c r="U30" s="46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34"/>
      <c r="AI30" s="38"/>
      <c r="AJ30" s="18">
        <f t="shared" si="0"/>
        <v>8</v>
      </c>
      <c r="AK30" s="19"/>
    </row>
    <row r="31" spans="1:37" s="4" customFormat="1" ht="19.5" customHeight="1" x14ac:dyDescent="0.4">
      <c r="A31" s="30">
        <v>22</v>
      </c>
      <c r="B31" s="39" t="s">
        <v>24</v>
      </c>
      <c r="C31" s="38"/>
      <c r="D31" s="35"/>
      <c r="E31" s="34"/>
      <c r="F31" s="34" t="s">
        <v>70</v>
      </c>
      <c r="G31" s="34" t="s">
        <v>70</v>
      </c>
      <c r="H31" s="38" t="s">
        <v>70</v>
      </c>
      <c r="I31" s="38" t="s">
        <v>70</v>
      </c>
      <c r="J31" s="38" t="s">
        <v>70</v>
      </c>
      <c r="K31" s="45" t="s">
        <v>70</v>
      </c>
      <c r="L31" s="45"/>
      <c r="M31" s="45"/>
      <c r="N31" s="45"/>
      <c r="O31" s="45"/>
      <c r="P31" s="45"/>
      <c r="Q31" s="45"/>
      <c r="R31" s="45"/>
      <c r="S31" s="45"/>
      <c r="T31" s="45"/>
      <c r="U31" s="46"/>
      <c r="V31" s="45"/>
      <c r="W31" s="45"/>
      <c r="X31" s="45"/>
      <c r="Y31" s="45"/>
      <c r="Z31" s="45"/>
      <c r="AA31" s="46"/>
      <c r="AB31" s="46"/>
      <c r="AC31" s="46"/>
      <c r="AD31" s="46"/>
      <c r="AE31" s="45"/>
      <c r="AF31" s="45"/>
      <c r="AG31" s="45"/>
      <c r="AH31" s="34"/>
      <c r="AI31" s="38"/>
      <c r="AJ31" s="18">
        <f t="shared" si="0"/>
        <v>6</v>
      </c>
      <c r="AK31" s="19"/>
    </row>
    <row r="32" spans="1:37" s="4" customFormat="1" ht="19.5" customHeight="1" x14ac:dyDescent="0.4">
      <c r="A32" s="30">
        <v>23</v>
      </c>
      <c r="B32" s="39" t="s">
        <v>19</v>
      </c>
      <c r="C32" s="38" t="s">
        <v>70</v>
      </c>
      <c r="D32" s="35"/>
      <c r="E32" s="38"/>
      <c r="F32" s="38" t="s">
        <v>70</v>
      </c>
      <c r="G32" s="34"/>
      <c r="H32" s="38"/>
      <c r="I32" s="38" t="s">
        <v>70</v>
      </c>
      <c r="J32" s="34" t="s">
        <v>70</v>
      </c>
      <c r="K32" s="45" t="s">
        <v>70</v>
      </c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6"/>
      <c r="AC32" s="46"/>
      <c r="AD32" s="46"/>
      <c r="AE32" s="45"/>
      <c r="AF32" s="45"/>
      <c r="AG32" s="45"/>
      <c r="AH32" s="38"/>
      <c r="AI32" s="38"/>
      <c r="AJ32" s="18">
        <f>SUM(COUNTIF(A32:AI32, "/"),COUNTIF(A32:AI32,"1/2")*0.5)</f>
        <v>5</v>
      </c>
      <c r="AK32" s="19"/>
    </row>
    <row r="33" spans="1:38" s="4" customFormat="1" ht="19.5" customHeight="1" x14ac:dyDescent="0.4">
      <c r="A33" s="30">
        <v>24</v>
      </c>
      <c r="B33" s="39" t="s">
        <v>9</v>
      </c>
      <c r="C33" s="38" t="s">
        <v>70</v>
      </c>
      <c r="D33" s="35"/>
      <c r="E33" s="38"/>
      <c r="F33" s="38" t="s">
        <v>70</v>
      </c>
      <c r="G33" s="34" t="s">
        <v>70</v>
      </c>
      <c r="H33" s="38"/>
      <c r="I33" s="38" t="s">
        <v>70</v>
      </c>
      <c r="J33" s="34" t="s">
        <v>70</v>
      </c>
      <c r="K33" s="45" t="s">
        <v>70</v>
      </c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6"/>
      <c r="AB33" s="46"/>
      <c r="AC33" s="46"/>
      <c r="AD33" s="46"/>
      <c r="AE33" s="45"/>
      <c r="AF33" s="45"/>
      <c r="AG33" s="45"/>
      <c r="AH33" s="38"/>
      <c r="AI33" s="38"/>
      <c r="AJ33" s="18">
        <f>SUM(COUNTIF(A33:AI33, "/"),COUNTIF(A33:AI33,"1/2")*0.5)</f>
        <v>6</v>
      </c>
      <c r="AK33" s="19"/>
    </row>
    <row r="34" spans="1:38" s="4" customFormat="1" ht="19.5" customHeight="1" x14ac:dyDescent="0.35">
      <c r="A34" s="32" t="s">
        <v>41</v>
      </c>
      <c r="B34" s="63" t="s">
        <v>44</v>
      </c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18"/>
      <c r="AK34" s="19"/>
    </row>
    <row r="35" spans="1:38" s="4" customFormat="1" ht="19.5" customHeight="1" x14ac:dyDescent="0.4">
      <c r="A35" s="30">
        <v>25</v>
      </c>
      <c r="B35" s="39" t="s">
        <v>4</v>
      </c>
      <c r="C35" s="34" t="s">
        <v>70</v>
      </c>
      <c r="D35" s="35" t="s">
        <v>70</v>
      </c>
      <c r="E35" s="38"/>
      <c r="F35" s="38" t="s">
        <v>70</v>
      </c>
      <c r="G35" s="34" t="s">
        <v>70</v>
      </c>
      <c r="H35" s="38"/>
      <c r="I35" s="38" t="s">
        <v>70</v>
      </c>
      <c r="J35" s="34" t="s">
        <v>70</v>
      </c>
      <c r="K35" s="45" t="s">
        <v>70</v>
      </c>
      <c r="L35" s="46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6"/>
      <c r="Z35" s="45"/>
      <c r="AA35" s="45"/>
      <c r="AB35" s="46"/>
      <c r="AC35" s="46"/>
      <c r="AD35" s="45"/>
      <c r="AE35" s="45"/>
      <c r="AF35" s="45"/>
      <c r="AG35" s="38"/>
      <c r="AH35" s="34"/>
      <c r="AI35" s="38"/>
      <c r="AJ35" s="18">
        <f t="shared" si="0"/>
        <v>7</v>
      </c>
      <c r="AK35" s="19"/>
    </row>
    <row r="36" spans="1:38" s="4" customFormat="1" ht="19.5" customHeight="1" x14ac:dyDescent="0.4">
      <c r="A36" s="30">
        <v>26</v>
      </c>
      <c r="B36" s="39" t="s">
        <v>27</v>
      </c>
      <c r="C36" s="34" t="s">
        <v>70</v>
      </c>
      <c r="D36" s="35"/>
      <c r="E36" s="38"/>
      <c r="F36" s="34"/>
      <c r="G36" s="38"/>
      <c r="H36" s="38"/>
      <c r="I36" s="38"/>
      <c r="J36" s="38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6"/>
      <c r="AB36" s="46"/>
      <c r="AC36" s="46"/>
      <c r="AD36" s="45"/>
      <c r="AE36" s="45"/>
      <c r="AF36" s="45"/>
      <c r="AG36" s="38"/>
      <c r="AH36" s="38"/>
      <c r="AI36" s="38"/>
      <c r="AJ36" s="18">
        <f t="shared" si="0"/>
        <v>1</v>
      </c>
      <c r="AK36" s="19"/>
    </row>
    <row r="37" spans="1:38" s="4" customFormat="1" ht="19.5" customHeight="1" x14ac:dyDescent="0.4">
      <c r="A37" s="30">
        <v>27</v>
      </c>
      <c r="B37" s="39" t="s">
        <v>31</v>
      </c>
      <c r="C37" s="38" t="s">
        <v>70</v>
      </c>
      <c r="D37" s="35" t="s">
        <v>70</v>
      </c>
      <c r="E37" s="34"/>
      <c r="F37" s="34" t="s">
        <v>70</v>
      </c>
      <c r="G37" s="34" t="s">
        <v>70</v>
      </c>
      <c r="H37" s="38" t="s">
        <v>70</v>
      </c>
      <c r="I37" s="38" t="s">
        <v>70</v>
      </c>
      <c r="J37" s="34" t="s">
        <v>70</v>
      </c>
      <c r="K37" s="46" t="s">
        <v>70</v>
      </c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6"/>
      <c r="AB37" s="46"/>
      <c r="AC37" s="46"/>
      <c r="AD37" s="45"/>
      <c r="AE37" s="45"/>
      <c r="AF37" s="45"/>
      <c r="AG37" s="38"/>
      <c r="AH37" s="34"/>
      <c r="AI37" s="38"/>
      <c r="AJ37" s="18">
        <f t="shared" si="0"/>
        <v>8</v>
      </c>
      <c r="AK37" s="19"/>
    </row>
    <row r="38" spans="1:38" s="4" customFormat="1" ht="19.5" customHeight="1" x14ac:dyDescent="0.4">
      <c r="A38" s="30">
        <v>28</v>
      </c>
      <c r="B38" s="39" t="s">
        <v>30</v>
      </c>
      <c r="C38" s="38" t="s">
        <v>70</v>
      </c>
      <c r="D38" s="35" t="s">
        <v>70</v>
      </c>
      <c r="E38" s="34"/>
      <c r="F38" s="38" t="s">
        <v>70</v>
      </c>
      <c r="G38" s="34" t="s">
        <v>70</v>
      </c>
      <c r="H38" s="38"/>
      <c r="I38" s="38" t="s">
        <v>70</v>
      </c>
      <c r="J38" s="34" t="s">
        <v>70</v>
      </c>
      <c r="K38" s="45" t="s">
        <v>70</v>
      </c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6"/>
      <c r="AB38" s="46"/>
      <c r="AC38" s="46"/>
      <c r="AD38" s="46"/>
      <c r="AE38" s="45"/>
      <c r="AF38" s="45"/>
      <c r="AG38" s="38"/>
      <c r="AH38" s="38"/>
      <c r="AI38" s="38"/>
      <c r="AJ38" s="18">
        <f t="shared" si="0"/>
        <v>7</v>
      </c>
      <c r="AK38" s="19"/>
    </row>
    <row r="39" spans="1:38" s="4" customFormat="1" ht="19.5" customHeight="1" x14ac:dyDescent="0.4">
      <c r="A39" s="30">
        <v>29</v>
      </c>
      <c r="B39" s="39" t="s">
        <v>25</v>
      </c>
      <c r="C39" s="38" t="s">
        <v>70</v>
      </c>
      <c r="D39" s="35" t="s">
        <v>70</v>
      </c>
      <c r="E39" s="38"/>
      <c r="F39" s="38" t="s">
        <v>70</v>
      </c>
      <c r="G39" s="34" t="s">
        <v>70</v>
      </c>
      <c r="H39" s="38" t="s">
        <v>70</v>
      </c>
      <c r="I39" s="38" t="s">
        <v>70</v>
      </c>
      <c r="J39" s="38" t="s">
        <v>70</v>
      </c>
      <c r="K39" s="45" t="s">
        <v>70</v>
      </c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6"/>
      <c r="AB39" s="46"/>
      <c r="AC39" s="46"/>
      <c r="AD39" s="45"/>
      <c r="AE39" s="45"/>
      <c r="AF39" s="45"/>
      <c r="AG39" s="38"/>
      <c r="AH39" s="38"/>
      <c r="AI39" s="38"/>
      <c r="AJ39" s="18">
        <f t="shared" si="0"/>
        <v>8</v>
      </c>
      <c r="AK39" s="19"/>
    </row>
    <row r="40" spans="1:38" s="4" customFormat="1" ht="19.5" customHeight="1" x14ac:dyDescent="0.4">
      <c r="A40" s="30">
        <v>31</v>
      </c>
      <c r="B40" s="39" t="s">
        <v>68</v>
      </c>
      <c r="C40" s="34" t="s">
        <v>70</v>
      </c>
      <c r="D40" s="38"/>
      <c r="E40" s="38"/>
      <c r="F40" s="34" t="s">
        <v>70</v>
      </c>
      <c r="G40" s="38" t="s">
        <v>70</v>
      </c>
      <c r="H40" s="38" t="s">
        <v>70</v>
      </c>
      <c r="I40" s="38" t="s">
        <v>70</v>
      </c>
      <c r="J40" s="38" t="s">
        <v>70</v>
      </c>
      <c r="K40" s="45" t="s">
        <v>70</v>
      </c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6"/>
      <c r="AB40" s="46"/>
      <c r="AC40" s="46"/>
      <c r="AD40" s="45"/>
      <c r="AE40" s="45"/>
      <c r="AF40" s="45"/>
      <c r="AG40" s="38"/>
      <c r="AH40" s="38"/>
      <c r="AI40" s="38"/>
      <c r="AJ40" s="18">
        <f t="shared" si="0"/>
        <v>7</v>
      </c>
      <c r="AK40" s="19"/>
      <c r="AL40" s="6"/>
    </row>
    <row r="41" spans="1:38" s="4" customFormat="1" ht="19.5" customHeight="1" x14ac:dyDescent="0.4">
      <c r="A41" s="30">
        <v>32</v>
      </c>
      <c r="B41" s="39" t="s">
        <v>81</v>
      </c>
      <c r="C41" s="38" t="s">
        <v>70</v>
      </c>
      <c r="D41" s="35" t="s">
        <v>70</v>
      </c>
      <c r="E41" s="34"/>
      <c r="F41" s="38" t="s">
        <v>70</v>
      </c>
      <c r="G41" s="34" t="s">
        <v>70</v>
      </c>
      <c r="H41" s="38"/>
      <c r="I41" s="38" t="s">
        <v>70</v>
      </c>
      <c r="J41" s="38" t="s">
        <v>70</v>
      </c>
      <c r="K41" s="45" t="s">
        <v>70</v>
      </c>
      <c r="L41" s="46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  <c r="AB41" s="46"/>
      <c r="AC41" s="46"/>
      <c r="AD41" s="45"/>
      <c r="AE41" s="45"/>
      <c r="AF41" s="45"/>
      <c r="AG41" s="38"/>
      <c r="AH41" s="38"/>
      <c r="AI41" s="38"/>
      <c r="AJ41" s="18">
        <f t="shared" si="0"/>
        <v>7</v>
      </c>
      <c r="AK41" s="19"/>
    </row>
    <row r="42" spans="1:38" s="4" customFormat="1" ht="19.5" customHeight="1" x14ac:dyDescent="0.4">
      <c r="A42" s="30">
        <v>33</v>
      </c>
      <c r="B42" s="39" t="s">
        <v>69</v>
      </c>
      <c r="C42" s="38" t="s">
        <v>70</v>
      </c>
      <c r="D42" s="35" t="s">
        <v>70</v>
      </c>
      <c r="E42" s="34"/>
      <c r="F42" s="38" t="s">
        <v>70</v>
      </c>
      <c r="G42" s="34" t="s">
        <v>70</v>
      </c>
      <c r="H42" s="38"/>
      <c r="I42" s="38" t="s">
        <v>70</v>
      </c>
      <c r="J42" s="38" t="s">
        <v>70</v>
      </c>
      <c r="K42" s="45" t="s">
        <v>70</v>
      </c>
      <c r="L42" s="46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6"/>
      <c r="AB42" s="46"/>
      <c r="AC42" s="46"/>
      <c r="AD42" s="45"/>
      <c r="AE42" s="45"/>
      <c r="AF42" s="45"/>
      <c r="AG42" s="38"/>
      <c r="AH42" s="38"/>
      <c r="AI42" s="38"/>
      <c r="AJ42" s="18">
        <f t="shared" si="0"/>
        <v>7</v>
      </c>
      <c r="AK42" s="19"/>
    </row>
    <row r="43" spans="1:38" s="4" customFormat="1" ht="19.5" customHeight="1" x14ac:dyDescent="0.4">
      <c r="A43" s="30">
        <v>34</v>
      </c>
      <c r="B43" s="39" t="s">
        <v>82</v>
      </c>
      <c r="C43" s="38"/>
      <c r="D43" s="35"/>
      <c r="E43" s="34"/>
      <c r="F43" s="38"/>
      <c r="G43" s="34"/>
      <c r="H43" s="38"/>
      <c r="I43" s="38"/>
      <c r="J43" s="38"/>
      <c r="K43" s="45"/>
      <c r="L43" s="46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6"/>
      <c r="AB43" s="46"/>
      <c r="AC43" s="46"/>
      <c r="AD43" s="45"/>
      <c r="AE43" s="45"/>
      <c r="AF43" s="45"/>
      <c r="AG43" s="38"/>
      <c r="AH43" s="38"/>
      <c r="AI43" s="38"/>
      <c r="AJ43" s="18">
        <f t="shared" si="0"/>
        <v>0</v>
      </c>
      <c r="AK43" s="19"/>
    </row>
    <row r="44" spans="1:38" s="4" customFormat="1" ht="19.5" customHeight="1" x14ac:dyDescent="0.4">
      <c r="A44" s="30">
        <v>35</v>
      </c>
      <c r="B44" s="39" t="s">
        <v>83</v>
      </c>
      <c r="C44" s="38" t="s">
        <v>70</v>
      </c>
      <c r="D44" s="35"/>
      <c r="E44" s="34"/>
      <c r="F44" s="38" t="s">
        <v>70</v>
      </c>
      <c r="G44" s="34" t="s">
        <v>70</v>
      </c>
      <c r="H44" s="38"/>
      <c r="I44" s="38" t="s">
        <v>70</v>
      </c>
      <c r="J44" s="38" t="s">
        <v>70</v>
      </c>
      <c r="K44" s="45" t="s">
        <v>70</v>
      </c>
      <c r="L44" s="46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6"/>
      <c r="AB44" s="46"/>
      <c r="AC44" s="46"/>
      <c r="AD44" s="45"/>
      <c r="AE44" s="45"/>
      <c r="AF44" s="45"/>
      <c r="AG44" s="38"/>
      <c r="AH44" s="38"/>
      <c r="AI44" s="38"/>
      <c r="AJ44" s="18">
        <f t="shared" si="0"/>
        <v>6</v>
      </c>
      <c r="AK44" s="19"/>
    </row>
    <row r="45" spans="1:38" s="4" customFormat="1" ht="19.5" customHeight="1" x14ac:dyDescent="0.4">
      <c r="A45" s="30">
        <v>36</v>
      </c>
      <c r="B45" s="39" t="s">
        <v>76</v>
      </c>
      <c r="C45" s="38"/>
      <c r="D45" s="35"/>
      <c r="E45" s="34"/>
      <c r="F45" s="38" t="s">
        <v>70</v>
      </c>
      <c r="G45" s="34" t="s">
        <v>70</v>
      </c>
      <c r="H45" s="38"/>
      <c r="I45" s="38" t="s">
        <v>70</v>
      </c>
      <c r="J45" s="38" t="s">
        <v>70</v>
      </c>
      <c r="K45" s="45" t="s">
        <v>70</v>
      </c>
      <c r="L45" s="46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6"/>
      <c r="AB45" s="46"/>
      <c r="AC45" s="46"/>
      <c r="AD45" s="45"/>
      <c r="AE45" s="45"/>
      <c r="AF45" s="45"/>
      <c r="AG45" s="38"/>
      <c r="AH45" s="38"/>
      <c r="AI45" s="38"/>
      <c r="AJ45" s="18">
        <f t="shared" si="0"/>
        <v>5</v>
      </c>
      <c r="AK45" s="19"/>
    </row>
    <row r="46" spans="1:38" s="4" customFormat="1" ht="19.5" customHeight="1" x14ac:dyDescent="0.4">
      <c r="A46" s="30">
        <v>37</v>
      </c>
      <c r="B46" s="39" t="s">
        <v>80</v>
      </c>
      <c r="C46" s="38" t="s">
        <v>70</v>
      </c>
      <c r="D46" s="35" t="s">
        <v>70</v>
      </c>
      <c r="E46" s="34"/>
      <c r="F46" s="38" t="s">
        <v>70</v>
      </c>
      <c r="G46" s="34" t="s">
        <v>70</v>
      </c>
      <c r="H46" s="38"/>
      <c r="I46" s="38" t="s">
        <v>70</v>
      </c>
      <c r="J46" s="38" t="s">
        <v>70</v>
      </c>
      <c r="K46" s="45" t="s">
        <v>70</v>
      </c>
      <c r="L46" s="46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6"/>
      <c r="AB46" s="46"/>
      <c r="AC46" s="46"/>
      <c r="AD46" s="45"/>
      <c r="AE46" s="45"/>
      <c r="AF46" s="45"/>
      <c r="AG46" s="38"/>
      <c r="AH46" s="38"/>
      <c r="AI46" s="38"/>
      <c r="AJ46" s="18">
        <f t="shared" si="0"/>
        <v>7</v>
      </c>
      <c r="AK46" s="19"/>
    </row>
    <row r="47" spans="1:38" s="4" customFormat="1" ht="19.5" customHeight="1" x14ac:dyDescent="0.4">
      <c r="A47" s="30">
        <v>38</v>
      </c>
      <c r="B47" s="39" t="s">
        <v>90</v>
      </c>
      <c r="C47" s="38" t="s">
        <v>70</v>
      </c>
      <c r="D47" s="35" t="s">
        <v>70</v>
      </c>
      <c r="E47" s="34"/>
      <c r="F47" s="38" t="s">
        <v>70</v>
      </c>
      <c r="G47" s="34" t="s">
        <v>70</v>
      </c>
      <c r="H47" s="38"/>
      <c r="I47" s="38" t="s">
        <v>70</v>
      </c>
      <c r="J47" s="38" t="s">
        <v>70</v>
      </c>
      <c r="K47" s="45" t="s">
        <v>70</v>
      </c>
      <c r="L47" s="46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6"/>
      <c r="AB47" s="46"/>
      <c r="AC47" s="46"/>
      <c r="AD47" s="45"/>
      <c r="AE47" s="45"/>
      <c r="AF47" s="45"/>
      <c r="AG47" s="38"/>
      <c r="AH47" s="38"/>
      <c r="AI47" s="38"/>
      <c r="AJ47" s="18">
        <f t="shared" si="0"/>
        <v>7</v>
      </c>
      <c r="AK47" s="19"/>
    </row>
    <row r="48" spans="1:38" s="4" customFormat="1" ht="19.5" customHeight="1" x14ac:dyDescent="0.4">
      <c r="A48" s="30"/>
      <c r="B48" s="39" t="s">
        <v>88</v>
      </c>
      <c r="C48" s="38" t="s">
        <v>70</v>
      </c>
      <c r="D48" s="35" t="s">
        <v>70</v>
      </c>
      <c r="E48" s="34"/>
      <c r="F48" s="38" t="s">
        <v>70</v>
      </c>
      <c r="G48" s="34" t="s">
        <v>70</v>
      </c>
      <c r="H48" s="38"/>
      <c r="I48" s="38" t="s">
        <v>70</v>
      </c>
      <c r="J48" s="38" t="s">
        <v>70</v>
      </c>
      <c r="K48" s="45" t="s">
        <v>70</v>
      </c>
      <c r="L48" s="46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6"/>
      <c r="AB48" s="46"/>
      <c r="AC48" s="46"/>
      <c r="AD48" s="45"/>
      <c r="AE48" s="45"/>
      <c r="AF48" s="45"/>
      <c r="AG48" s="38"/>
      <c r="AH48" s="38"/>
      <c r="AI48" s="38"/>
      <c r="AJ48" s="18">
        <f t="shared" si="0"/>
        <v>7</v>
      </c>
      <c r="AK48" s="19"/>
    </row>
    <row r="49" spans="1:37" s="4" customFormat="1" ht="19.5" customHeight="1" x14ac:dyDescent="0.4">
      <c r="A49" s="30">
        <v>39</v>
      </c>
      <c r="B49" s="39" t="s">
        <v>100</v>
      </c>
      <c r="C49" s="34"/>
      <c r="D49" s="35"/>
      <c r="E49" s="38"/>
      <c r="F49" s="34"/>
      <c r="G49" s="38"/>
      <c r="H49" s="38"/>
      <c r="I49" s="38"/>
      <c r="J49" s="38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6"/>
      <c r="AB49" s="46"/>
      <c r="AC49" s="46"/>
      <c r="AD49" s="45"/>
      <c r="AE49" s="45"/>
      <c r="AF49" s="45"/>
      <c r="AG49" s="38"/>
      <c r="AH49" s="38"/>
      <c r="AI49" s="38"/>
      <c r="AJ49" s="18">
        <f t="shared" si="0"/>
        <v>0</v>
      </c>
      <c r="AK49" s="19"/>
    </row>
    <row r="50" spans="1:37" s="4" customFormat="1" ht="19.5" customHeight="1" x14ac:dyDescent="0.35">
      <c r="A50" s="30"/>
      <c r="B50" s="63" t="s">
        <v>45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18"/>
      <c r="AK50" s="19"/>
    </row>
    <row r="51" spans="1:37" s="4" customFormat="1" ht="19.5" customHeight="1" x14ac:dyDescent="0.4">
      <c r="A51" s="30">
        <v>40</v>
      </c>
      <c r="B51" s="39" t="s">
        <v>13</v>
      </c>
      <c r="C51" s="38" t="s">
        <v>70</v>
      </c>
      <c r="D51" s="35"/>
      <c r="E51" s="34"/>
      <c r="F51" s="38" t="s">
        <v>70</v>
      </c>
      <c r="G51" s="38" t="s">
        <v>70</v>
      </c>
      <c r="H51" s="38" t="s">
        <v>70</v>
      </c>
      <c r="I51" s="38" t="s">
        <v>70</v>
      </c>
      <c r="J51" s="34" t="s">
        <v>70</v>
      </c>
      <c r="K51" s="45" t="s">
        <v>70</v>
      </c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6"/>
      <c r="AC51" s="46"/>
      <c r="AD51" s="45"/>
      <c r="AE51" s="45"/>
      <c r="AF51" s="45"/>
      <c r="AG51" s="38"/>
      <c r="AH51" s="38"/>
      <c r="AI51" s="38"/>
      <c r="AJ51" s="18">
        <f t="shared" si="0"/>
        <v>7</v>
      </c>
      <c r="AK51" s="19"/>
    </row>
    <row r="52" spans="1:37" s="4" customFormat="1" ht="19.5" customHeight="1" x14ac:dyDescent="0.4">
      <c r="A52" s="30">
        <v>41</v>
      </c>
      <c r="B52" s="39" t="s">
        <v>16</v>
      </c>
      <c r="C52" s="38" t="s">
        <v>70</v>
      </c>
      <c r="D52" s="35"/>
      <c r="E52" s="38"/>
      <c r="F52" s="38" t="s">
        <v>70</v>
      </c>
      <c r="G52" s="38" t="s">
        <v>70</v>
      </c>
      <c r="H52" s="38"/>
      <c r="I52" s="34" t="s">
        <v>70</v>
      </c>
      <c r="J52" s="34" t="s">
        <v>70</v>
      </c>
      <c r="K52" s="45" t="s">
        <v>70</v>
      </c>
      <c r="L52" s="45"/>
      <c r="M52" s="45"/>
      <c r="N52" s="45"/>
      <c r="O52" s="45"/>
      <c r="P52" s="45"/>
      <c r="Q52" s="45"/>
      <c r="R52" s="45"/>
      <c r="S52" s="45"/>
      <c r="T52" s="46"/>
      <c r="U52" s="45"/>
      <c r="V52" s="45"/>
      <c r="W52" s="45"/>
      <c r="X52" s="45"/>
      <c r="Y52" s="45"/>
      <c r="Z52" s="45"/>
      <c r="AA52" s="46"/>
      <c r="AB52" s="46"/>
      <c r="AC52" s="46"/>
      <c r="AD52" s="45"/>
      <c r="AE52" s="45"/>
      <c r="AF52" s="45"/>
      <c r="AG52" s="38"/>
      <c r="AH52" s="38"/>
      <c r="AI52" s="38"/>
      <c r="AJ52" s="18">
        <f t="shared" si="0"/>
        <v>6</v>
      </c>
      <c r="AK52" s="19"/>
    </row>
    <row r="53" spans="1:37" s="4" customFormat="1" ht="19.5" customHeight="1" x14ac:dyDescent="0.4">
      <c r="A53" s="30">
        <v>42</v>
      </c>
      <c r="B53" s="39" t="s">
        <v>23</v>
      </c>
      <c r="C53" s="38"/>
      <c r="D53" s="38"/>
      <c r="E53" s="38"/>
      <c r="F53" s="38" t="s">
        <v>70</v>
      </c>
      <c r="G53" s="38" t="s">
        <v>70</v>
      </c>
      <c r="H53" s="38" t="s">
        <v>70</v>
      </c>
      <c r="I53" s="38"/>
      <c r="J53" s="34" t="s">
        <v>70</v>
      </c>
      <c r="K53" s="45" t="s">
        <v>70</v>
      </c>
      <c r="L53" s="45"/>
      <c r="M53" s="45"/>
      <c r="N53" s="45"/>
      <c r="O53" s="45"/>
      <c r="P53" s="45"/>
      <c r="Q53" s="45"/>
      <c r="R53" s="45"/>
      <c r="S53" s="46"/>
      <c r="T53" s="45"/>
      <c r="U53" s="46"/>
      <c r="V53" s="45"/>
      <c r="W53" s="45"/>
      <c r="X53" s="45"/>
      <c r="Y53" s="45"/>
      <c r="Z53" s="45"/>
      <c r="AA53" s="45"/>
      <c r="AB53" s="46"/>
      <c r="AC53" s="46"/>
      <c r="AD53" s="45"/>
      <c r="AE53" s="45"/>
      <c r="AF53" s="45"/>
      <c r="AG53" s="38"/>
      <c r="AH53" s="38"/>
      <c r="AI53" s="38"/>
      <c r="AJ53" s="18">
        <f t="shared" si="0"/>
        <v>5</v>
      </c>
      <c r="AK53" s="19"/>
    </row>
    <row r="54" spans="1:37" s="4" customFormat="1" ht="19.5" customHeight="1" x14ac:dyDescent="0.4">
      <c r="A54" s="30">
        <v>43</v>
      </c>
      <c r="B54" s="39" t="s">
        <v>20</v>
      </c>
      <c r="C54" s="38"/>
      <c r="D54" s="35"/>
      <c r="E54" s="38"/>
      <c r="F54" s="38"/>
      <c r="G54" s="38" t="s">
        <v>70</v>
      </c>
      <c r="H54" s="38" t="s">
        <v>70</v>
      </c>
      <c r="I54" s="38" t="s">
        <v>70</v>
      </c>
      <c r="J54" s="34" t="s">
        <v>70</v>
      </c>
      <c r="K54" s="45" t="s">
        <v>70</v>
      </c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6"/>
      <c r="AC54" s="46"/>
      <c r="AD54" s="45"/>
      <c r="AE54" s="45"/>
      <c r="AF54" s="45"/>
      <c r="AG54" s="38"/>
      <c r="AH54" s="38"/>
      <c r="AI54" s="38"/>
      <c r="AJ54" s="18">
        <f t="shared" si="0"/>
        <v>5</v>
      </c>
      <c r="AK54" s="19"/>
    </row>
    <row r="55" spans="1:37" s="4" customFormat="1" ht="19.5" customHeight="1" x14ac:dyDescent="0.4">
      <c r="A55" s="30">
        <v>44</v>
      </c>
      <c r="B55" s="39" t="s">
        <v>21</v>
      </c>
      <c r="C55" s="38" t="s">
        <v>70</v>
      </c>
      <c r="D55" s="38"/>
      <c r="E55" s="38"/>
      <c r="F55" s="38" t="s">
        <v>70</v>
      </c>
      <c r="G55" s="38" t="s">
        <v>70</v>
      </c>
      <c r="H55" s="38" t="s">
        <v>70</v>
      </c>
      <c r="I55" s="38" t="s">
        <v>70</v>
      </c>
      <c r="J55" s="38" t="s">
        <v>70</v>
      </c>
      <c r="K55" s="45" t="s">
        <v>70</v>
      </c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6"/>
      <c r="AC55" s="46"/>
      <c r="AD55" s="45"/>
      <c r="AE55" s="45"/>
      <c r="AF55" s="45"/>
      <c r="AG55" s="38"/>
      <c r="AH55" s="38"/>
      <c r="AI55" s="38"/>
      <c r="AJ55" s="18">
        <f t="shared" si="0"/>
        <v>7</v>
      </c>
      <c r="AK55" s="19"/>
    </row>
    <row r="56" spans="1:37" s="4" customFormat="1" ht="19.5" customHeight="1" x14ac:dyDescent="0.4">
      <c r="A56" s="30">
        <v>45</v>
      </c>
      <c r="B56" s="39" t="s">
        <v>22</v>
      </c>
      <c r="C56" s="38"/>
      <c r="D56" s="38" t="s">
        <v>70</v>
      </c>
      <c r="E56" s="38"/>
      <c r="F56" s="34" t="s">
        <v>70</v>
      </c>
      <c r="G56" s="38" t="s">
        <v>70</v>
      </c>
      <c r="H56" s="38" t="s">
        <v>70</v>
      </c>
      <c r="I56" s="34"/>
      <c r="J56" s="38" t="s">
        <v>70</v>
      </c>
      <c r="K56" s="45" t="s">
        <v>70</v>
      </c>
      <c r="L56" s="45"/>
      <c r="M56" s="45"/>
      <c r="N56" s="45"/>
      <c r="O56" s="45"/>
      <c r="P56" s="45"/>
      <c r="Q56" s="45"/>
      <c r="R56" s="46"/>
      <c r="S56" s="45"/>
      <c r="T56" s="45"/>
      <c r="U56" s="45"/>
      <c r="V56" s="45"/>
      <c r="W56" s="45"/>
      <c r="X56" s="46"/>
      <c r="Y56" s="45"/>
      <c r="Z56" s="45"/>
      <c r="AA56" s="45"/>
      <c r="AB56" s="45"/>
      <c r="AC56" s="45"/>
      <c r="AD56" s="45"/>
      <c r="AE56" s="45"/>
      <c r="AF56" s="45"/>
      <c r="AG56" s="38"/>
      <c r="AH56" s="38"/>
      <c r="AI56" s="38"/>
      <c r="AJ56" s="18">
        <f t="shared" si="0"/>
        <v>6</v>
      </c>
      <c r="AK56" s="19"/>
    </row>
    <row r="57" spans="1:37" s="4" customFormat="1" ht="19.5" customHeight="1" x14ac:dyDescent="0.4">
      <c r="A57" s="30">
        <v>46</v>
      </c>
      <c r="B57" s="39" t="s">
        <v>17</v>
      </c>
      <c r="C57" s="38" t="s">
        <v>70</v>
      </c>
      <c r="D57" s="35"/>
      <c r="E57" s="38"/>
      <c r="F57" s="38" t="s">
        <v>70</v>
      </c>
      <c r="G57" s="34" t="s">
        <v>70</v>
      </c>
      <c r="H57" s="38" t="s">
        <v>70</v>
      </c>
      <c r="I57" s="38" t="s">
        <v>70</v>
      </c>
      <c r="J57" s="34" t="s">
        <v>70</v>
      </c>
      <c r="K57" s="46" t="s">
        <v>70</v>
      </c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6"/>
      <c r="AC57" s="46"/>
      <c r="AD57" s="46"/>
      <c r="AE57" s="45"/>
      <c r="AF57" s="45"/>
      <c r="AG57" s="38"/>
      <c r="AH57" s="38"/>
      <c r="AI57" s="38"/>
      <c r="AJ57" s="18">
        <f t="shared" si="0"/>
        <v>7</v>
      </c>
      <c r="AK57" s="19"/>
    </row>
    <row r="58" spans="1:37" s="4" customFormat="1" ht="19.5" customHeight="1" x14ac:dyDescent="0.4">
      <c r="A58" s="30">
        <v>47</v>
      </c>
      <c r="B58" s="39" t="s">
        <v>46</v>
      </c>
      <c r="C58" s="34" t="s">
        <v>70</v>
      </c>
      <c r="D58" s="35" t="s">
        <v>70</v>
      </c>
      <c r="E58" s="38"/>
      <c r="F58" s="34" t="s">
        <v>70</v>
      </c>
      <c r="G58" s="38" t="s">
        <v>70</v>
      </c>
      <c r="H58" s="38"/>
      <c r="I58" s="34" t="s">
        <v>70</v>
      </c>
      <c r="J58" s="34" t="s">
        <v>70</v>
      </c>
      <c r="K58" s="45" t="s">
        <v>70</v>
      </c>
      <c r="L58" s="46"/>
      <c r="M58" s="45"/>
      <c r="N58" s="45"/>
      <c r="O58" s="45"/>
      <c r="P58" s="45"/>
      <c r="Q58" s="45"/>
      <c r="R58" s="45"/>
      <c r="S58" s="46"/>
      <c r="T58" s="45"/>
      <c r="U58" s="45"/>
      <c r="V58" s="45"/>
      <c r="W58" s="45"/>
      <c r="X58" s="45"/>
      <c r="Y58" s="45"/>
      <c r="Z58" s="45"/>
      <c r="AA58" s="45"/>
      <c r="AB58" s="46"/>
      <c r="AC58" s="46"/>
      <c r="AD58" s="45"/>
      <c r="AE58" s="45"/>
      <c r="AF58" s="45"/>
      <c r="AG58" s="38"/>
      <c r="AH58" s="38"/>
      <c r="AI58" s="38"/>
      <c r="AJ58" s="18">
        <f t="shared" si="0"/>
        <v>7</v>
      </c>
      <c r="AK58" s="19"/>
    </row>
    <row r="59" spans="1:37" s="4" customFormat="1" ht="19.5" customHeight="1" x14ac:dyDescent="0.4">
      <c r="A59" s="30">
        <v>48</v>
      </c>
      <c r="B59" s="39" t="s">
        <v>48</v>
      </c>
      <c r="C59" s="38"/>
      <c r="D59" s="38"/>
      <c r="E59" s="38"/>
      <c r="F59" s="38" t="s">
        <v>70</v>
      </c>
      <c r="G59" s="38" t="s">
        <v>70</v>
      </c>
      <c r="H59" s="38" t="s">
        <v>70</v>
      </c>
      <c r="I59" s="38" t="s">
        <v>70</v>
      </c>
      <c r="J59" s="38" t="s">
        <v>70</v>
      </c>
      <c r="K59" s="38" t="s">
        <v>70</v>
      </c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38"/>
      <c r="AH59" s="38"/>
      <c r="AI59" s="38"/>
      <c r="AJ59" s="18">
        <f t="shared" si="0"/>
        <v>6</v>
      </c>
      <c r="AK59" s="19"/>
    </row>
    <row r="60" spans="1:37" s="4" customFormat="1" ht="19.5" customHeight="1" x14ac:dyDescent="0.4">
      <c r="A60" s="30">
        <v>49</v>
      </c>
      <c r="B60" s="39" t="s">
        <v>49</v>
      </c>
      <c r="C60" s="38" t="s">
        <v>70</v>
      </c>
      <c r="D60" s="35"/>
      <c r="E60" s="38"/>
      <c r="F60" s="38" t="s">
        <v>70</v>
      </c>
      <c r="G60" s="38" t="s">
        <v>70</v>
      </c>
      <c r="H60" s="38"/>
      <c r="I60" s="38"/>
      <c r="J60" s="34" t="s">
        <v>70</v>
      </c>
      <c r="K60" s="34" t="s">
        <v>70</v>
      </c>
      <c r="L60" s="45"/>
      <c r="M60" s="45"/>
      <c r="N60" s="45"/>
      <c r="O60" s="45"/>
      <c r="P60" s="45"/>
      <c r="Q60" s="45"/>
      <c r="R60" s="45"/>
      <c r="S60" s="45"/>
      <c r="T60" s="45"/>
      <c r="U60" s="46"/>
      <c r="V60" s="45"/>
      <c r="W60" s="45"/>
      <c r="X60" s="45"/>
      <c r="Y60" s="45"/>
      <c r="Z60" s="45"/>
      <c r="AA60" s="46"/>
      <c r="AB60" s="46"/>
      <c r="AC60" s="46"/>
      <c r="AD60" s="45"/>
      <c r="AE60" s="45"/>
      <c r="AF60" s="45"/>
      <c r="AG60" s="38"/>
      <c r="AH60" s="38"/>
      <c r="AI60" s="38"/>
      <c r="AJ60" s="18">
        <f t="shared" si="0"/>
        <v>5</v>
      </c>
      <c r="AK60" s="19"/>
    </row>
    <row r="61" spans="1:37" s="4" customFormat="1" ht="19.5" customHeight="1" x14ac:dyDescent="0.4">
      <c r="A61" s="30">
        <v>50</v>
      </c>
      <c r="B61" s="39" t="s">
        <v>50</v>
      </c>
      <c r="C61" s="34" t="s">
        <v>70</v>
      </c>
      <c r="D61" s="38"/>
      <c r="E61" s="34"/>
      <c r="F61" s="34" t="s">
        <v>70</v>
      </c>
      <c r="G61" s="38" t="s">
        <v>70</v>
      </c>
      <c r="H61" s="38"/>
      <c r="I61" s="38" t="s">
        <v>70</v>
      </c>
      <c r="J61" s="34" t="s">
        <v>70</v>
      </c>
      <c r="K61" s="34" t="s">
        <v>70</v>
      </c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6"/>
      <c r="AC61" s="46"/>
      <c r="AD61" s="45"/>
      <c r="AE61" s="45"/>
      <c r="AF61" s="45"/>
      <c r="AG61" s="38"/>
      <c r="AH61" s="34"/>
      <c r="AI61" s="38"/>
      <c r="AJ61" s="18">
        <f t="shared" si="0"/>
        <v>6</v>
      </c>
      <c r="AK61" s="19"/>
    </row>
    <row r="62" spans="1:37" s="4" customFormat="1" ht="19.5" customHeight="1" x14ac:dyDescent="0.4">
      <c r="A62" s="30">
        <v>51</v>
      </c>
      <c r="B62" s="39" t="s">
        <v>51</v>
      </c>
      <c r="C62" s="38" t="s">
        <v>70</v>
      </c>
      <c r="D62" s="38"/>
      <c r="E62" s="34"/>
      <c r="F62" s="38" t="s">
        <v>70</v>
      </c>
      <c r="G62" s="38" t="s">
        <v>70</v>
      </c>
      <c r="H62" s="38"/>
      <c r="I62" s="38"/>
      <c r="J62" s="34" t="s">
        <v>70</v>
      </c>
      <c r="K62" s="34" t="s">
        <v>70</v>
      </c>
      <c r="L62" s="46"/>
      <c r="M62" s="45"/>
      <c r="N62" s="45"/>
      <c r="O62" s="45"/>
      <c r="P62" s="45"/>
      <c r="Q62" s="45"/>
      <c r="R62" s="45"/>
      <c r="S62" s="46"/>
      <c r="T62" s="46"/>
      <c r="U62" s="45"/>
      <c r="V62" s="45"/>
      <c r="W62" s="45"/>
      <c r="X62" s="45"/>
      <c r="Y62" s="46"/>
      <c r="Z62" s="45"/>
      <c r="AA62" s="45"/>
      <c r="AB62" s="46"/>
      <c r="AC62" s="46"/>
      <c r="AD62" s="46"/>
      <c r="AE62" s="45"/>
      <c r="AF62" s="45"/>
      <c r="AG62" s="38"/>
      <c r="AH62" s="38"/>
      <c r="AI62" s="38"/>
      <c r="AJ62" s="18">
        <f t="shared" si="0"/>
        <v>5</v>
      </c>
      <c r="AK62" s="19"/>
    </row>
    <row r="63" spans="1:37" s="4" customFormat="1" ht="19.5" customHeight="1" x14ac:dyDescent="0.4">
      <c r="A63" s="30">
        <v>52</v>
      </c>
      <c r="B63" s="39" t="s">
        <v>57</v>
      </c>
      <c r="C63" s="38"/>
      <c r="D63" s="35"/>
      <c r="E63" s="38"/>
      <c r="F63" s="38" t="s">
        <v>70</v>
      </c>
      <c r="G63" s="38" t="s">
        <v>70</v>
      </c>
      <c r="H63" s="38"/>
      <c r="I63" s="38"/>
      <c r="J63" s="38" t="s">
        <v>70</v>
      </c>
      <c r="K63" s="38" t="s">
        <v>70</v>
      </c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6"/>
      <c r="Z63" s="45"/>
      <c r="AA63" s="45"/>
      <c r="AB63" s="46"/>
      <c r="AC63" s="46"/>
      <c r="AD63" s="45"/>
      <c r="AE63" s="45"/>
      <c r="AF63" s="45"/>
      <c r="AG63" s="38"/>
      <c r="AH63" s="38"/>
      <c r="AI63" s="38"/>
      <c r="AJ63" s="18">
        <f t="shared" si="0"/>
        <v>4</v>
      </c>
      <c r="AK63" s="19"/>
    </row>
    <row r="64" spans="1:37" s="4" customFormat="1" ht="19.5" customHeight="1" x14ac:dyDescent="0.4">
      <c r="A64" s="30">
        <v>53</v>
      </c>
      <c r="B64" s="39" t="s">
        <v>8</v>
      </c>
      <c r="C64" s="38" t="s">
        <v>70</v>
      </c>
      <c r="D64" s="35"/>
      <c r="E64" s="38"/>
      <c r="F64" s="38" t="s">
        <v>70</v>
      </c>
      <c r="G64" s="38" t="s">
        <v>70</v>
      </c>
      <c r="H64" s="38" t="s">
        <v>70</v>
      </c>
      <c r="I64" s="38" t="s">
        <v>70</v>
      </c>
      <c r="J64" s="34" t="s">
        <v>70</v>
      </c>
      <c r="K64" s="34" t="s">
        <v>70</v>
      </c>
      <c r="L64" s="45"/>
      <c r="M64" s="45"/>
      <c r="N64" s="45"/>
      <c r="O64" s="45"/>
      <c r="P64" s="45"/>
      <c r="Q64" s="45"/>
      <c r="R64" s="45"/>
      <c r="S64" s="46"/>
      <c r="T64" s="46"/>
      <c r="U64" s="45"/>
      <c r="V64" s="45"/>
      <c r="W64" s="45"/>
      <c r="X64" s="45"/>
      <c r="Y64" s="45"/>
      <c r="Z64" s="45"/>
      <c r="AA64" s="45"/>
      <c r="AB64" s="46"/>
      <c r="AC64" s="46"/>
      <c r="AD64" s="45"/>
      <c r="AE64" s="45"/>
      <c r="AF64" s="45"/>
      <c r="AG64" s="38"/>
      <c r="AH64" s="38"/>
      <c r="AI64" s="38"/>
      <c r="AJ64" s="18">
        <f t="shared" si="0"/>
        <v>7</v>
      </c>
      <c r="AK64" s="19"/>
    </row>
    <row r="65" spans="1:37" s="4" customFormat="1" ht="19.5" customHeight="1" x14ac:dyDescent="0.4">
      <c r="A65" s="30">
        <v>54</v>
      </c>
      <c r="B65" s="39" t="s">
        <v>53</v>
      </c>
      <c r="C65" s="38"/>
      <c r="D65" s="38" t="s">
        <v>70</v>
      </c>
      <c r="E65" s="38"/>
      <c r="F65" s="38" t="s">
        <v>70</v>
      </c>
      <c r="G65" s="38" t="s">
        <v>70</v>
      </c>
      <c r="H65" s="38" t="s">
        <v>70</v>
      </c>
      <c r="I65" s="38" t="s">
        <v>70</v>
      </c>
      <c r="J65" s="34" t="s">
        <v>70</v>
      </c>
      <c r="K65" s="34" t="s">
        <v>70</v>
      </c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6"/>
      <c r="AC65" s="46"/>
      <c r="AD65" s="45"/>
      <c r="AE65" s="45"/>
      <c r="AF65" s="45"/>
      <c r="AG65" s="38"/>
      <c r="AH65" s="38"/>
      <c r="AI65" s="38"/>
      <c r="AJ65" s="18">
        <f t="shared" si="0"/>
        <v>7</v>
      </c>
      <c r="AK65" s="19"/>
    </row>
    <row r="66" spans="1:37" s="4" customFormat="1" ht="19.5" customHeight="1" x14ac:dyDescent="0.4">
      <c r="A66" s="30">
        <v>55</v>
      </c>
      <c r="B66" s="39" t="s">
        <v>54</v>
      </c>
      <c r="C66" s="38"/>
      <c r="D66" s="38" t="s">
        <v>70</v>
      </c>
      <c r="E66" s="34"/>
      <c r="F66" s="38" t="s">
        <v>70</v>
      </c>
      <c r="G66" s="38" t="s">
        <v>70</v>
      </c>
      <c r="H66" s="38"/>
      <c r="I66" s="38" t="s">
        <v>70</v>
      </c>
      <c r="J66" s="34" t="s">
        <v>70</v>
      </c>
      <c r="K66" s="34" t="s">
        <v>70</v>
      </c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6"/>
      <c r="AC66" s="46"/>
      <c r="AD66" s="45"/>
      <c r="AE66" s="45"/>
      <c r="AF66" s="45"/>
      <c r="AG66" s="38"/>
      <c r="AH66" s="34"/>
      <c r="AI66" s="38"/>
      <c r="AJ66" s="18">
        <f t="shared" si="0"/>
        <v>6</v>
      </c>
      <c r="AK66" s="19"/>
    </row>
    <row r="67" spans="1:37" s="4" customFormat="1" ht="19.5" customHeight="1" x14ac:dyDescent="0.4">
      <c r="A67" s="30">
        <v>56</v>
      </c>
      <c r="B67" s="39" t="s">
        <v>55</v>
      </c>
      <c r="C67" s="38"/>
      <c r="D67" s="35"/>
      <c r="E67" s="38"/>
      <c r="F67" s="38" t="s">
        <v>70</v>
      </c>
      <c r="G67" s="34" t="s">
        <v>70</v>
      </c>
      <c r="H67" s="38" t="s">
        <v>70</v>
      </c>
      <c r="I67" s="38"/>
      <c r="J67" s="34" t="s">
        <v>70</v>
      </c>
      <c r="K67" s="34" t="s">
        <v>70</v>
      </c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6"/>
      <c r="AB67" s="46"/>
      <c r="AC67" s="46"/>
      <c r="AD67" s="46"/>
      <c r="AE67" s="45"/>
      <c r="AF67" s="45"/>
      <c r="AG67" s="38"/>
      <c r="AH67" s="38"/>
      <c r="AI67" s="38"/>
      <c r="AJ67" s="18">
        <f t="shared" si="0"/>
        <v>5</v>
      </c>
      <c r="AK67" s="19"/>
    </row>
    <row r="68" spans="1:37" s="4" customFormat="1" ht="19.5" customHeight="1" x14ac:dyDescent="0.4">
      <c r="A68" s="30">
        <v>57</v>
      </c>
      <c r="B68" s="39" t="s">
        <v>56</v>
      </c>
      <c r="C68" s="38"/>
      <c r="D68" s="35"/>
      <c r="E68" s="38"/>
      <c r="F68" s="34" t="s">
        <v>70</v>
      </c>
      <c r="G68" s="34" t="s">
        <v>70</v>
      </c>
      <c r="H68" s="38" t="s">
        <v>70</v>
      </c>
      <c r="I68" s="38" t="s">
        <v>70</v>
      </c>
      <c r="J68" s="34" t="s">
        <v>70</v>
      </c>
      <c r="K68" s="34" t="s">
        <v>70</v>
      </c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6"/>
      <c r="AC68" s="46"/>
      <c r="AD68" s="45"/>
      <c r="AE68" s="45"/>
      <c r="AF68" s="45"/>
      <c r="AG68" s="38"/>
      <c r="AH68" s="38"/>
      <c r="AI68" s="38"/>
      <c r="AJ68" s="18">
        <f t="shared" si="0"/>
        <v>6</v>
      </c>
      <c r="AK68" s="19"/>
    </row>
    <row r="69" spans="1:37" s="4" customFormat="1" ht="19.5" customHeight="1" x14ac:dyDescent="0.4">
      <c r="A69" s="30">
        <v>58</v>
      </c>
      <c r="B69" s="39" t="s">
        <v>89</v>
      </c>
      <c r="C69" s="38"/>
      <c r="D69" s="35"/>
      <c r="E69" s="38"/>
      <c r="F69" s="34" t="s">
        <v>70</v>
      </c>
      <c r="G69" s="34" t="s">
        <v>70</v>
      </c>
      <c r="H69" s="38"/>
      <c r="I69" s="38"/>
      <c r="J69" s="34" t="s">
        <v>70</v>
      </c>
      <c r="K69" s="34" t="s">
        <v>70</v>
      </c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6"/>
      <c r="AC69" s="46"/>
      <c r="AD69" s="45"/>
      <c r="AE69" s="45"/>
      <c r="AF69" s="45"/>
      <c r="AG69" s="38"/>
      <c r="AH69" s="38"/>
      <c r="AI69" s="38"/>
      <c r="AJ69" s="18">
        <f t="shared" si="0"/>
        <v>4</v>
      </c>
      <c r="AK69" s="19"/>
    </row>
    <row r="70" spans="1:37" s="4" customFormat="1" ht="19.5" customHeight="1" x14ac:dyDescent="0.4">
      <c r="A70" s="30">
        <v>59</v>
      </c>
      <c r="B70" s="39" t="s">
        <v>84</v>
      </c>
      <c r="C70" s="38"/>
      <c r="D70" s="35"/>
      <c r="E70" s="38"/>
      <c r="F70" s="34" t="s">
        <v>70</v>
      </c>
      <c r="G70" s="34" t="s">
        <v>70</v>
      </c>
      <c r="H70" s="38"/>
      <c r="I70" s="38"/>
      <c r="J70" s="34" t="s">
        <v>70</v>
      </c>
      <c r="K70" s="34" t="s">
        <v>70</v>
      </c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6"/>
      <c r="AC70" s="46"/>
      <c r="AD70" s="45"/>
      <c r="AE70" s="45"/>
      <c r="AF70" s="45"/>
      <c r="AG70" s="38"/>
      <c r="AH70" s="38"/>
      <c r="AI70" s="38"/>
      <c r="AJ70" s="18">
        <f>SUM(COUNTIF(A70:AI70, "/"),COUNTIF(A70:AI70,"1/2")*0.5)</f>
        <v>4</v>
      </c>
      <c r="AK70" s="19"/>
    </row>
    <row r="71" spans="1:37" s="4" customFormat="1" ht="19.5" customHeight="1" x14ac:dyDescent="0.4">
      <c r="A71" s="30">
        <v>60</v>
      </c>
      <c r="B71" s="39" t="s">
        <v>85</v>
      </c>
      <c r="C71" s="38" t="s">
        <v>70</v>
      </c>
      <c r="D71" s="35"/>
      <c r="E71" s="38"/>
      <c r="F71" s="34" t="s">
        <v>70</v>
      </c>
      <c r="G71" s="34" t="s">
        <v>70</v>
      </c>
      <c r="H71" s="38" t="s">
        <v>70</v>
      </c>
      <c r="I71" s="38" t="s">
        <v>70</v>
      </c>
      <c r="J71" s="34"/>
      <c r="K71" s="34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6"/>
      <c r="AC71" s="46"/>
      <c r="AD71" s="45"/>
      <c r="AE71" s="45"/>
      <c r="AF71" s="45"/>
      <c r="AG71" s="38"/>
      <c r="AH71" s="38"/>
      <c r="AI71" s="38"/>
      <c r="AJ71" s="18">
        <f>SUM(COUNTIF(A71:AI71, "/"),COUNTIF(A71:AI71,"1/2")*0.5)</f>
        <v>5</v>
      </c>
      <c r="AK71" s="19"/>
    </row>
    <row r="72" spans="1:37" s="4" customFormat="1" ht="19.5" customHeight="1" x14ac:dyDescent="0.4">
      <c r="A72" s="30">
        <v>61</v>
      </c>
      <c r="B72" s="39" t="s">
        <v>91</v>
      </c>
      <c r="C72" s="38" t="s">
        <v>70</v>
      </c>
      <c r="D72" s="35"/>
      <c r="E72" s="38"/>
      <c r="F72" s="34" t="s">
        <v>70</v>
      </c>
      <c r="G72" s="34" t="s">
        <v>70</v>
      </c>
      <c r="H72" s="38"/>
      <c r="I72" s="38"/>
      <c r="J72" s="34" t="s">
        <v>70</v>
      </c>
      <c r="K72" s="34" t="s">
        <v>70</v>
      </c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6"/>
      <c r="AC72" s="46"/>
      <c r="AD72" s="45"/>
      <c r="AE72" s="45"/>
      <c r="AF72" s="45"/>
      <c r="AG72" s="38"/>
      <c r="AH72" s="38"/>
      <c r="AI72" s="38"/>
      <c r="AJ72" s="18">
        <f>SUM(COUNTIF(A72:AI72, "/"),COUNTIF(A72:AI72,"1/2")*0.5)</f>
        <v>5</v>
      </c>
      <c r="AK72" s="19"/>
    </row>
    <row r="73" spans="1:37" s="4" customFormat="1" ht="19.5" customHeight="1" x14ac:dyDescent="0.4">
      <c r="A73" s="30"/>
      <c r="B73" s="39" t="s">
        <v>94</v>
      </c>
      <c r="C73" s="38" t="s">
        <v>70</v>
      </c>
      <c r="D73" s="35" t="s">
        <v>70</v>
      </c>
      <c r="E73" s="38"/>
      <c r="F73" s="34" t="s">
        <v>70</v>
      </c>
      <c r="G73" s="34" t="s">
        <v>70</v>
      </c>
      <c r="H73" s="38"/>
      <c r="I73" s="38"/>
      <c r="J73" s="34" t="s">
        <v>70</v>
      </c>
      <c r="K73" s="34" t="s">
        <v>70</v>
      </c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6"/>
      <c r="AC73" s="46"/>
      <c r="AD73" s="45"/>
      <c r="AE73" s="45"/>
      <c r="AF73" s="45"/>
      <c r="AG73" s="38"/>
      <c r="AH73" s="38"/>
      <c r="AI73" s="38"/>
      <c r="AJ73" s="18">
        <f>SUM(COUNTIF(A73:AI73, "/"),COUNTIF(A73:AI73,"1/2")*0.5)</f>
        <v>6</v>
      </c>
      <c r="AK73" s="19"/>
    </row>
    <row r="74" spans="1:37" s="4" customFormat="1" ht="19.5" customHeight="1" x14ac:dyDescent="0.35">
      <c r="A74" s="30">
        <v>62</v>
      </c>
      <c r="B74" s="40" t="s">
        <v>101</v>
      </c>
      <c r="C74" s="38"/>
      <c r="D74" s="38"/>
      <c r="E74" s="34"/>
      <c r="F74" s="38"/>
      <c r="G74" s="34"/>
      <c r="H74" s="38"/>
      <c r="I74" s="38"/>
      <c r="J74" s="34" t="s">
        <v>70</v>
      </c>
      <c r="K74" s="34" t="s">
        <v>70</v>
      </c>
      <c r="L74" s="45"/>
      <c r="M74" s="45"/>
      <c r="N74" s="45"/>
      <c r="O74" s="45"/>
      <c r="P74" s="45"/>
      <c r="Q74" s="45"/>
      <c r="R74" s="45"/>
      <c r="S74" s="46"/>
      <c r="T74" s="45"/>
      <c r="U74" s="45"/>
      <c r="V74" s="45"/>
      <c r="W74" s="45"/>
      <c r="X74" s="45"/>
      <c r="Y74" s="45"/>
      <c r="Z74" s="45"/>
      <c r="AA74" s="45"/>
      <c r="AB74" s="46"/>
      <c r="AC74" s="46"/>
      <c r="AD74" s="46"/>
      <c r="AE74" s="45"/>
      <c r="AF74" s="45"/>
      <c r="AG74" s="38"/>
      <c r="AH74" s="34"/>
      <c r="AI74" s="38"/>
      <c r="AJ74" s="18">
        <f t="shared" si="0"/>
        <v>2</v>
      </c>
      <c r="AK74" s="19"/>
    </row>
    <row r="75" spans="1:37" s="4" customFormat="1" ht="19.5" customHeight="1" x14ac:dyDescent="0.35">
      <c r="A75" s="50" t="s">
        <v>3</v>
      </c>
      <c r="B75" s="51"/>
      <c r="C75" s="31">
        <f t="shared" ref="C75:AI75" si="1">SUM(COUNTIF(C7:C74, "/"),COUNTIF(C7:C74,"1/2")*0.5)</f>
        <v>36</v>
      </c>
      <c r="D75" s="31">
        <f t="shared" si="1"/>
        <v>20</v>
      </c>
      <c r="E75" s="31">
        <f t="shared" si="1"/>
        <v>0</v>
      </c>
      <c r="F75" s="31">
        <f t="shared" si="1"/>
        <v>57</v>
      </c>
      <c r="G75" s="31">
        <f t="shared" si="1"/>
        <v>57</v>
      </c>
      <c r="H75" s="31">
        <f t="shared" si="1"/>
        <v>28</v>
      </c>
      <c r="I75" s="31">
        <f t="shared" si="1"/>
        <v>38</v>
      </c>
      <c r="J75" s="31">
        <f t="shared" si="1"/>
        <v>58</v>
      </c>
      <c r="K75" s="31">
        <f t="shared" si="1"/>
        <v>58</v>
      </c>
      <c r="L75" s="31">
        <f t="shared" si="1"/>
        <v>0</v>
      </c>
      <c r="M75" s="31">
        <f t="shared" si="1"/>
        <v>0</v>
      </c>
      <c r="N75" s="31">
        <f t="shared" si="1"/>
        <v>0</v>
      </c>
      <c r="O75" s="31">
        <f t="shared" si="1"/>
        <v>0</v>
      </c>
      <c r="P75" s="31">
        <f t="shared" si="1"/>
        <v>0</v>
      </c>
      <c r="Q75" s="31">
        <f t="shared" si="1"/>
        <v>0</v>
      </c>
      <c r="R75" s="31">
        <f t="shared" si="1"/>
        <v>0</v>
      </c>
      <c r="S75" s="31">
        <f t="shared" si="1"/>
        <v>0</v>
      </c>
      <c r="T75" s="31">
        <f t="shared" si="1"/>
        <v>0</v>
      </c>
      <c r="U75" s="31">
        <f t="shared" si="1"/>
        <v>0</v>
      </c>
      <c r="V75" s="31">
        <f t="shared" si="1"/>
        <v>0</v>
      </c>
      <c r="W75" s="31">
        <f t="shared" si="1"/>
        <v>0</v>
      </c>
      <c r="X75" s="31">
        <f t="shared" si="1"/>
        <v>0</v>
      </c>
      <c r="Y75" s="31">
        <f t="shared" si="1"/>
        <v>0</v>
      </c>
      <c r="Z75" s="31">
        <f t="shared" si="1"/>
        <v>0</v>
      </c>
      <c r="AA75" s="31">
        <f t="shared" si="1"/>
        <v>0</v>
      </c>
      <c r="AB75" s="31">
        <f t="shared" si="1"/>
        <v>0</v>
      </c>
      <c r="AC75" s="31">
        <f t="shared" si="1"/>
        <v>0</v>
      </c>
      <c r="AD75" s="31">
        <f t="shared" si="1"/>
        <v>0</v>
      </c>
      <c r="AE75" s="31">
        <f t="shared" si="1"/>
        <v>0</v>
      </c>
      <c r="AF75" s="31">
        <f t="shared" si="1"/>
        <v>0</v>
      </c>
      <c r="AG75" s="31">
        <f t="shared" si="1"/>
        <v>0</v>
      </c>
      <c r="AH75" s="31">
        <f t="shared" si="1"/>
        <v>0</v>
      </c>
      <c r="AI75" s="31">
        <f t="shared" si="1"/>
        <v>0</v>
      </c>
      <c r="AJ75" s="24">
        <f>SUM(C75:AI75)</f>
        <v>352</v>
      </c>
      <c r="AK75" s="24"/>
    </row>
    <row r="76" spans="1:37" s="6" customFormat="1" ht="19.5" customHeight="1" x14ac:dyDescent="0.35">
      <c r="A76" s="52" t="s">
        <v>3</v>
      </c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26"/>
    </row>
    <row r="77" spans="1:37" s="6" customFormat="1" ht="21.75" customHeight="1" x14ac:dyDescent="0.35">
      <c r="A77" s="53" t="s">
        <v>97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</row>
    <row r="78" spans="1:37" s="8" customFormat="1" ht="21.75" customHeight="1" x14ac:dyDescent="0.4">
      <c r="A78" s="9" t="s">
        <v>71</v>
      </c>
      <c r="B78" s="10" t="s">
        <v>64</v>
      </c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spans="1:37" s="8" customFormat="1" ht="14.25" customHeight="1" x14ac:dyDescent="0.45">
      <c r="A79" s="7"/>
      <c r="B79" s="11"/>
      <c r="C79" s="16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55" t="s">
        <v>96</v>
      </c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K79" s="20"/>
    </row>
    <row r="80" spans="1:37" s="8" customFormat="1" ht="15.4" x14ac:dyDescent="0.45">
      <c r="A80" s="7"/>
      <c r="B80" s="56"/>
      <c r="C80" s="56"/>
      <c r="D80" s="56"/>
      <c r="E80" s="56"/>
      <c r="F80" s="29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43"/>
      <c r="T80" s="1"/>
      <c r="U80" s="56" t="s">
        <v>32</v>
      </c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K80" s="27"/>
    </row>
    <row r="81" spans="1:37" s="8" customFormat="1" ht="15.4" x14ac:dyDescent="0.45">
      <c r="A81" s="7"/>
      <c r="B81" s="48"/>
      <c r="C81" s="48"/>
      <c r="D81" s="48"/>
      <c r="E81" s="48"/>
      <c r="F81" s="2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2"/>
      <c r="T81" s="1"/>
      <c r="U81" s="1"/>
      <c r="V81" s="48" t="s">
        <v>33</v>
      </c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K81" s="25"/>
    </row>
    <row r="82" spans="1:37" s="8" customFormat="1" ht="15.4" x14ac:dyDescent="0.45">
      <c r="A82" s="7"/>
      <c r="B82" s="11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</row>
    <row r="83" spans="1:37" s="8" customFormat="1" ht="15.4" x14ac:dyDescent="0.45">
      <c r="A83" s="7"/>
      <c r="B83" s="11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</row>
    <row r="84" spans="1:37" s="8" customFormat="1" ht="15.4" x14ac:dyDescent="0.45">
      <c r="A84" s="7"/>
      <c r="B84" s="12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</row>
    <row r="85" spans="1:37" s="8" customFormat="1" x14ac:dyDescent="0.4">
      <c r="B85" s="13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s="8" customFormat="1" x14ac:dyDescent="0.4">
      <c r="B86" s="13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s="8" customFormat="1" x14ac:dyDescent="0.4">
      <c r="B87" s="13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s="8" customFormat="1" x14ac:dyDescent="0.4">
      <c r="B88" s="13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s="8" customFormat="1" x14ac:dyDescent="0.4">
      <c r="B89" s="13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</sheetData>
  <mergeCells count="36">
    <mergeCell ref="A1:AJ1"/>
    <mergeCell ref="A2:AJ2"/>
    <mergeCell ref="A3:A5"/>
    <mergeCell ref="B3:B5"/>
    <mergeCell ref="C3:AI3"/>
    <mergeCell ref="AJ3:AJ5"/>
    <mergeCell ref="AD4:AF4"/>
    <mergeCell ref="AG4:AI4"/>
    <mergeCell ref="AK3:AK5"/>
    <mergeCell ref="C4:E4"/>
    <mergeCell ref="F4:H4"/>
    <mergeCell ref="I4:K4"/>
    <mergeCell ref="L4:N4"/>
    <mergeCell ref="O4:Q4"/>
    <mergeCell ref="R4:T4"/>
    <mergeCell ref="U4:W4"/>
    <mergeCell ref="X4:Z4"/>
    <mergeCell ref="AA4:AC4"/>
    <mergeCell ref="T79:AI79"/>
    <mergeCell ref="B6:AI6"/>
    <mergeCell ref="B9:AI9"/>
    <mergeCell ref="B11:AI11"/>
    <mergeCell ref="B18:AI18"/>
    <mergeCell ref="B23:AI23"/>
    <mergeCell ref="B34:AI34"/>
    <mergeCell ref="B50:AI50"/>
    <mergeCell ref="A75:B75"/>
    <mergeCell ref="A76:AJ76"/>
    <mergeCell ref="A77:AK77"/>
    <mergeCell ref="C78:M78"/>
    <mergeCell ref="B80:E80"/>
    <mergeCell ref="G80:R80"/>
    <mergeCell ref="U80:AH80"/>
    <mergeCell ref="B81:E81"/>
    <mergeCell ref="G81:R81"/>
    <mergeCell ref="V81:AH81"/>
  </mergeCells>
  <pageMargins left="0.2" right="0.2" top="0.17" bottom="0.47" header="0.17" footer="0.2"/>
  <pageSetup paperSize="9" scale="61" fitToHeight="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AD77"/>
  <sheetViews>
    <sheetView tabSelected="1" zoomScale="80" zoomScaleNormal="80" zoomScaleSheetLayoutView="85" workbookViewId="0">
      <selection activeCell="AF25" sqref="AF25"/>
    </sheetView>
  </sheetViews>
  <sheetFormatPr defaultColWidth="9.125" defaultRowHeight="13.15" x14ac:dyDescent="0.4"/>
  <cols>
    <col min="1" max="1" width="5.5625" style="1" customWidth="1"/>
    <col min="2" max="2" width="21.4375" style="2" customWidth="1"/>
    <col min="3" max="26" width="5.4375" style="1" customWidth="1"/>
    <col min="27" max="27" width="5.5625" style="1" customWidth="1"/>
    <col min="28" max="16384" width="9.125" style="1"/>
  </cols>
  <sheetData>
    <row r="1" spans="1:30" ht="28.5" customHeight="1" x14ac:dyDescent="0.6">
      <c r="A1" s="60" t="s">
        <v>74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</row>
    <row r="2" spans="1:30" ht="18" customHeight="1" x14ac:dyDescent="0.4">
      <c r="A2" s="61" t="s">
        <v>77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</row>
    <row r="3" spans="1:30" s="3" customFormat="1" ht="15" customHeight="1" x14ac:dyDescent="0.35">
      <c r="A3" s="58" t="s">
        <v>0</v>
      </c>
      <c r="B3" s="58" t="s">
        <v>1</v>
      </c>
      <c r="C3" s="58" t="s">
        <v>2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 t="s">
        <v>62</v>
      </c>
    </row>
    <row r="4" spans="1:30" ht="30.75" customHeight="1" x14ac:dyDescent="0.4">
      <c r="A4" s="58"/>
      <c r="B4" s="58"/>
      <c r="C4" s="59">
        <v>21</v>
      </c>
      <c r="D4" s="59"/>
      <c r="E4" s="59"/>
      <c r="F4" s="59">
        <v>22</v>
      </c>
      <c r="G4" s="59"/>
      <c r="H4" s="59"/>
      <c r="I4" s="59">
        <v>23</v>
      </c>
      <c r="J4" s="59"/>
      <c r="K4" s="59"/>
      <c r="L4" s="59">
        <v>24</v>
      </c>
      <c r="M4" s="59"/>
      <c r="N4" s="59"/>
      <c r="O4" s="59">
        <v>25</v>
      </c>
      <c r="P4" s="59"/>
      <c r="Q4" s="59"/>
      <c r="R4" s="59">
        <v>26</v>
      </c>
      <c r="S4" s="59"/>
      <c r="T4" s="59"/>
      <c r="U4" s="59">
        <v>27</v>
      </c>
      <c r="V4" s="59"/>
      <c r="W4" s="59"/>
      <c r="X4" s="59">
        <v>28</v>
      </c>
      <c r="Y4" s="59"/>
      <c r="Z4" s="59"/>
      <c r="AA4" s="58"/>
    </row>
    <row r="5" spans="1:30" ht="26.25" customHeight="1" x14ac:dyDescent="0.4">
      <c r="A5" s="58"/>
      <c r="B5" s="58"/>
      <c r="C5" s="28" t="s">
        <v>58</v>
      </c>
      <c r="D5" s="28" t="s">
        <v>59</v>
      </c>
      <c r="E5" s="28" t="s">
        <v>60</v>
      </c>
      <c r="F5" s="28" t="s">
        <v>58</v>
      </c>
      <c r="G5" s="28" t="s">
        <v>59</v>
      </c>
      <c r="H5" s="28" t="s">
        <v>60</v>
      </c>
      <c r="I5" s="28" t="s">
        <v>58</v>
      </c>
      <c r="J5" s="28" t="s">
        <v>59</v>
      </c>
      <c r="K5" s="44" t="s">
        <v>60</v>
      </c>
      <c r="L5" s="44" t="s">
        <v>58</v>
      </c>
      <c r="M5" s="44" t="s">
        <v>59</v>
      </c>
      <c r="N5" s="44" t="s">
        <v>60</v>
      </c>
      <c r="O5" s="44" t="s">
        <v>58</v>
      </c>
      <c r="P5" s="44" t="s">
        <v>59</v>
      </c>
      <c r="Q5" s="44" t="s">
        <v>60</v>
      </c>
      <c r="R5" s="44" t="s">
        <v>58</v>
      </c>
      <c r="S5" s="44" t="s">
        <v>59</v>
      </c>
      <c r="T5" s="44" t="s">
        <v>60</v>
      </c>
      <c r="U5" s="44" t="s">
        <v>58</v>
      </c>
      <c r="V5" s="44" t="s">
        <v>59</v>
      </c>
      <c r="W5" s="44" t="s">
        <v>60</v>
      </c>
      <c r="X5" s="44" t="s">
        <v>58</v>
      </c>
      <c r="Y5" s="44" t="s">
        <v>59</v>
      </c>
      <c r="Z5" s="44" t="s">
        <v>60</v>
      </c>
      <c r="AA5" s="58"/>
    </row>
    <row r="6" spans="1:30" s="4" customFormat="1" ht="19.5" customHeight="1" x14ac:dyDescent="0.35">
      <c r="A6" s="33" t="s">
        <v>36</v>
      </c>
      <c r="B6" s="62" t="s">
        <v>35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21"/>
    </row>
    <row r="7" spans="1:30" s="4" customFormat="1" ht="19.5" customHeight="1" x14ac:dyDescent="0.45">
      <c r="A7" s="30">
        <v>1</v>
      </c>
      <c r="B7" s="41" t="s">
        <v>15</v>
      </c>
      <c r="C7" s="37"/>
      <c r="D7" s="38"/>
      <c r="E7" s="38"/>
      <c r="F7" s="38"/>
      <c r="G7" s="38"/>
      <c r="H7" s="38"/>
      <c r="I7" s="38"/>
      <c r="J7" s="34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18">
        <f>SUM(COUNTIF(A7:Z7, "/"),COUNTIF(A7:Z7,"1/2")*0.5)</f>
        <v>0</v>
      </c>
    </row>
    <row r="8" spans="1:30" s="4" customFormat="1" ht="19.5" customHeight="1" x14ac:dyDescent="0.45">
      <c r="A8" s="30">
        <v>2</v>
      </c>
      <c r="B8" s="41" t="s">
        <v>6</v>
      </c>
      <c r="C8" s="38"/>
      <c r="D8" s="38"/>
      <c r="E8" s="38"/>
      <c r="F8" s="38"/>
      <c r="G8" s="38"/>
      <c r="H8" s="38"/>
      <c r="I8" s="38"/>
      <c r="J8" s="34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18">
        <f>SUM(COUNTIF(A8:Z8, "/"),COUNTIF(A8:Z8,"1/2")*0.5)</f>
        <v>0</v>
      </c>
    </row>
    <row r="9" spans="1:30" s="4" customFormat="1" ht="19.5" customHeight="1" x14ac:dyDescent="0.35">
      <c r="A9" s="32" t="s">
        <v>34</v>
      </c>
      <c r="B9" s="63" t="s">
        <v>65</v>
      </c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18">
        <f>SUM(COUNTIF(A9:Z9, "/"),COUNTIF(A9:Z9,"1/2")*0.5)</f>
        <v>0</v>
      </c>
    </row>
    <row r="10" spans="1:30" s="4" customFormat="1" ht="19.5" customHeight="1" x14ac:dyDescent="0.45">
      <c r="A10" s="30">
        <v>3</v>
      </c>
      <c r="B10" s="41" t="s">
        <v>66</v>
      </c>
      <c r="C10" s="38"/>
      <c r="D10" s="35"/>
      <c r="E10" s="38"/>
      <c r="F10" s="38"/>
      <c r="G10" s="34"/>
      <c r="H10" s="38"/>
      <c r="I10" s="38"/>
      <c r="J10" s="34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18">
        <f>SUM(COUNTIF(A10:Z10, "/"),COUNTIF(A10:Z10,"1/2")*0.5)</f>
        <v>0</v>
      </c>
    </row>
    <row r="11" spans="1:30" s="4" customFormat="1" ht="19.5" customHeight="1" x14ac:dyDescent="0.35">
      <c r="A11" s="32" t="s">
        <v>38</v>
      </c>
      <c r="B11" s="63" t="s">
        <v>37</v>
      </c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18"/>
    </row>
    <row r="12" spans="1:30" s="4" customFormat="1" ht="19.5" customHeight="1" x14ac:dyDescent="0.4">
      <c r="A12" s="30">
        <v>4</v>
      </c>
      <c r="B12" s="39" t="s">
        <v>5</v>
      </c>
      <c r="C12" s="38"/>
      <c r="D12" s="35"/>
      <c r="E12" s="34"/>
      <c r="F12" s="38"/>
      <c r="G12" s="34"/>
      <c r="H12" s="38"/>
      <c r="I12" s="38"/>
      <c r="J12" s="34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18">
        <f>SUM(COUNTIF(A12:Z12, "/"),COUNTIF(A12:Z12,"1/2")*0.5)</f>
        <v>0</v>
      </c>
    </row>
    <row r="13" spans="1:30" s="4" customFormat="1" ht="19.5" customHeight="1" x14ac:dyDescent="0.4">
      <c r="A13" s="30">
        <v>5</v>
      </c>
      <c r="B13" s="39" t="s">
        <v>7</v>
      </c>
      <c r="C13" s="38"/>
      <c r="D13" s="35"/>
      <c r="E13" s="38"/>
      <c r="F13" s="38"/>
      <c r="G13" s="38"/>
      <c r="H13" s="38"/>
      <c r="I13" s="38"/>
      <c r="J13" s="34"/>
      <c r="K13" s="46"/>
      <c r="L13" s="45"/>
      <c r="M13" s="45"/>
      <c r="N13" s="45"/>
      <c r="O13" s="45"/>
      <c r="P13" s="45"/>
      <c r="Q13" s="45"/>
      <c r="R13" s="45"/>
      <c r="S13" s="46"/>
      <c r="T13" s="46"/>
      <c r="U13" s="45"/>
      <c r="V13" s="45"/>
      <c r="W13" s="45"/>
      <c r="X13" s="45"/>
      <c r="Y13" s="45"/>
      <c r="Z13" s="45"/>
      <c r="AA13" s="18">
        <f>SUM(COUNTIF(A13:Z13, "/"),COUNTIF(A13:Z13,"1/2")*0.5)</f>
        <v>0</v>
      </c>
      <c r="AD13" s="5"/>
    </row>
    <row r="14" spans="1:30" s="4" customFormat="1" ht="19.5" customHeight="1" x14ac:dyDescent="0.4">
      <c r="A14" s="30">
        <v>6</v>
      </c>
      <c r="B14" s="39" t="s">
        <v>14</v>
      </c>
      <c r="C14" s="38"/>
      <c r="D14" s="38"/>
      <c r="E14" s="38"/>
      <c r="F14" s="38"/>
      <c r="G14" s="38"/>
      <c r="H14" s="38"/>
      <c r="I14" s="38"/>
      <c r="J14" s="38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18">
        <f>SUM(COUNTIF(A14:Z14, "/"),COUNTIF(A14:Z14,"1/2")*0.5)</f>
        <v>0</v>
      </c>
    </row>
    <row r="15" spans="1:30" s="4" customFormat="1" ht="19.5" customHeight="1" x14ac:dyDescent="0.4">
      <c r="A15" s="30">
        <v>7</v>
      </c>
      <c r="B15" s="39" t="s">
        <v>72</v>
      </c>
      <c r="C15" s="38"/>
      <c r="D15" s="38"/>
      <c r="E15" s="34"/>
      <c r="F15" s="38"/>
      <c r="G15" s="38"/>
      <c r="H15" s="38"/>
      <c r="I15" s="38"/>
      <c r="J15" s="34"/>
      <c r="K15" s="46"/>
      <c r="L15" s="45"/>
      <c r="M15" s="45"/>
      <c r="N15" s="45"/>
      <c r="O15" s="45"/>
      <c r="P15" s="45"/>
      <c r="Q15" s="45"/>
      <c r="R15" s="45"/>
      <c r="S15" s="46"/>
      <c r="T15" s="45"/>
      <c r="U15" s="45"/>
      <c r="V15" s="45"/>
      <c r="W15" s="45"/>
      <c r="X15" s="45"/>
      <c r="Y15" s="45"/>
      <c r="Z15" s="45"/>
      <c r="AA15" s="18">
        <f>SUM(COUNTIF(A15:Z15, "/"),COUNTIF(A15:Z15,"1/2")*0.5)</f>
        <v>0</v>
      </c>
    </row>
    <row r="16" spans="1:30" s="4" customFormat="1" ht="19.5" customHeight="1" x14ac:dyDescent="0.35">
      <c r="A16" s="32" t="s">
        <v>39</v>
      </c>
      <c r="B16" s="63" t="s">
        <v>42</v>
      </c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18"/>
    </row>
    <row r="17" spans="1:27" s="4" customFormat="1" ht="19.5" customHeight="1" x14ac:dyDescent="0.4">
      <c r="A17" s="30">
        <v>8</v>
      </c>
      <c r="B17" s="36" t="s">
        <v>8</v>
      </c>
      <c r="C17" s="38"/>
      <c r="D17" s="35"/>
      <c r="E17" s="38"/>
      <c r="F17" s="38"/>
      <c r="G17" s="34"/>
      <c r="H17" s="38"/>
      <c r="I17" s="38"/>
      <c r="J17" s="34"/>
      <c r="K17" s="45"/>
      <c r="L17" s="46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 t="s">
        <v>70</v>
      </c>
      <c r="Y17" s="45"/>
      <c r="Z17" s="45"/>
      <c r="AA17" s="18">
        <f t="shared" ref="AA17:AA30" si="0">SUM(COUNTIF(A17:Z17, "/"),COUNTIF(A17:Z17,"1/2")*0.5)</f>
        <v>1</v>
      </c>
    </row>
    <row r="18" spans="1:27" s="4" customFormat="1" ht="19.5" customHeight="1" x14ac:dyDescent="0.4">
      <c r="A18" s="30">
        <v>9</v>
      </c>
      <c r="B18" s="36" t="s">
        <v>52</v>
      </c>
      <c r="C18" s="34"/>
      <c r="D18" s="35"/>
      <c r="E18" s="34"/>
      <c r="F18" s="38"/>
      <c r="G18" s="34"/>
      <c r="H18" s="38"/>
      <c r="I18" s="38"/>
      <c r="J18" s="34"/>
      <c r="K18" s="46"/>
      <c r="L18" s="46"/>
      <c r="M18" s="45"/>
      <c r="N18" s="45"/>
      <c r="O18" s="45"/>
      <c r="P18" s="45"/>
      <c r="Q18" s="45"/>
      <c r="R18" s="45"/>
      <c r="S18" s="46"/>
      <c r="T18" s="46"/>
      <c r="U18" s="45"/>
      <c r="V18" s="45"/>
      <c r="W18" s="45"/>
      <c r="X18" s="46"/>
      <c r="Y18" s="45"/>
      <c r="Z18" s="45"/>
      <c r="AA18" s="18">
        <f t="shared" si="0"/>
        <v>0</v>
      </c>
    </row>
    <row r="19" spans="1:27" s="4" customFormat="1" ht="19.5" customHeight="1" x14ac:dyDescent="0.4">
      <c r="A19" s="30">
        <v>10</v>
      </c>
      <c r="B19" s="36" t="s">
        <v>75</v>
      </c>
      <c r="C19" s="38"/>
      <c r="D19" s="38"/>
      <c r="E19" s="38"/>
      <c r="F19" s="38"/>
      <c r="G19" s="38"/>
      <c r="H19" s="38"/>
      <c r="I19" s="38"/>
      <c r="J19" s="38"/>
      <c r="K19" s="45"/>
      <c r="L19" s="45"/>
      <c r="M19" s="45"/>
      <c r="N19" s="45"/>
      <c r="O19" s="45"/>
      <c r="P19" s="45"/>
      <c r="Q19" s="45"/>
      <c r="R19" s="45"/>
      <c r="S19" s="46"/>
      <c r="T19" s="46"/>
      <c r="U19" s="45"/>
      <c r="V19" s="45"/>
      <c r="W19" s="45"/>
      <c r="X19" s="46"/>
      <c r="Y19" s="45"/>
      <c r="Z19" s="45"/>
      <c r="AA19" s="18">
        <f t="shared" si="0"/>
        <v>0</v>
      </c>
    </row>
    <row r="20" spans="1:27" s="4" customFormat="1" ht="19.5" customHeight="1" x14ac:dyDescent="0.35">
      <c r="A20" s="32" t="s">
        <v>40</v>
      </c>
      <c r="B20" s="63" t="s">
        <v>43</v>
      </c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18">
        <f t="shared" si="0"/>
        <v>0</v>
      </c>
    </row>
    <row r="21" spans="1:27" s="4" customFormat="1" ht="19.5" customHeight="1" x14ac:dyDescent="0.4">
      <c r="A21" s="30">
        <v>11</v>
      </c>
      <c r="B21" s="39" t="s">
        <v>12</v>
      </c>
      <c r="C21" s="38"/>
      <c r="D21" s="35"/>
      <c r="E21" s="38"/>
      <c r="F21" s="38"/>
      <c r="G21" s="34"/>
      <c r="H21" s="38"/>
      <c r="I21" s="38"/>
      <c r="J21" s="38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18">
        <f t="shared" si="0"/>
        <v>0</v>
      </c>
    </row>
    <row r="22" spans="1:27" s="4" customFormat="1" ht="19.5" customHeight="1" x14ac:dyDescent="0.4">
      <c r="A22" s="30">
        <v>12</v>
      </c>
      <c r="B22" s="39" t="s">
        <v>28</v>
      </c>
      <c r="C22" s="38"/>
      <c r="D22" s="35"/>
      <c r="E22" s="38"/>
      <c r="F22" s="38"/>
      <c r="G22" s="34"/>
      <c r="H22" s="38"/>
      <c r="I22" s="38"/>
      <c r="J22" s="34"/>
      <c r="K22" s="46"/>
      <c r="L22" s="45"/>
      <c r="M22" s="45"/>
      <c r="N22" s="45"/>
      <c r="O22" s="45"/>
      <c r="P22" s="45"/>
      <c r="Q22" s="45"/>
      <c r="R22" s="45"/>
      <c r="S22" s="45"/>
      <c r="T22" s="45"/>
      <c r="U22" s="46"/>
      <c r="V22" s="45"/>
      <c r="W22" s="45"/>
      <c r="X22" s="45"/>
      <c r="Y22" s="45"/>
      <c r="Z22" s="45"/>
      <c r="AA22" s="18">
        <f t="shared" si="0"/>
        <v>0</v>
      </c>
    </row>
    <row r="23" spans="1:27" s="4" customFormat="1" ht="19.5" customHeight="1" x14ac:dyDescent="0.4">
      <c r="A23" s="30">
        <v>13</v>
      </c>
      <c r="B23" s="39" t="s">
        <v>10</v>
      </c>
      <c r="C23" s="38"/>
      <c r="D23" s="35"/>
      <c r="E23" s="38"/>
      <c r="F23" s="34"/>
      <c r="G23" s="34"/>
      <c r="H23" s="38"/>
      <c r="I23" s="34"/>
      <c r="J23" s="34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18">
        <f t="shared" si="0"/>
        <v>0</v>
      </c>
    </row>
    <row r="24" spans="1:27" s="4" customFormat="1" ht="19.5" customHeight="1" x14ac:dyDescent="0.4">
      <c r="A24" s="30">
        <v>14</v>
      </c>
      <c r="B24" s="39" t="s">
        <v>29</v>
      </c>
      <c r="C24" s="38"/>
      <c r="D24" s="35"/>
      <c r="E24" s="38"/>
      <c r="F24" s="34"/>
      <c r="G24" s="34"/>
      <c r="H24" s="38"/>
      <c r="I24" s="34"/>
      <c r="J24" s="34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18">
        <f t="shared" si="0"/>
        <v>0</v>
      </c>
    </row>
    <row r="25" spans="1:27" s="4" customFormat="1" ht="19.5" customHeight="1" x14ac:dyDescent="0.4">
      <c r="A25" s="30">
        <v>15</v>
      </c>
      <c r="B25" s="39" t="s">
        <v>67</v>
      </c>
      <c r="C25" s="38"/>
      <c r="D25" s="35"/>
      <c r="E25" s="38"/>
      <c r="F25" s="38"/>
      <c r="G25" s="34"/>
      <c r="H25" s="38"/>
      <c r="I25" s="38"/>
      <c r="J25" s="34"/>
      <c r="K25" s="46"/>
      <c r="L25" s="46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18">
        <f t="shared" si="0"/>
        <v>0</v>
      </c>
    </row>
    <row r="26" spans="1:27" s="4" customFormat="1" ht="19.5" customHeight="1" x14ac:dyDescent="0.4">
      <c r="A26" s="30">
        <v>16</v>
      </c>
      <c r="B26" s="39" t="s">
        <v>11</v>
      </c>
      <c r="C26" s="38"/>
      <c r="D26" s="35"/>
      <c r="E26" s="38"/>
      <c r="F26" s="38"/>
      <c r="G26" s="34"/>
      <c r="H26" s="38"/>
      <c r="I26" s="38"/>
      <c r="J26" s="34"/>
      <c r="K26" s="46"/>
      <c r="L26" s="46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18">
        <f t="shared" si="0"/>
        <v>0</v>
      </c>
    </row>
    <row r="27" spans="1:27" s="4" customFormat="1" ht="19.5" customHeight="1" x14ac:dyDescent="0.4">
      <c r="A27" s="30">
        <v>17</v>
      </c>
      <c r="B27" s="39" t="s">
        <v>18</v>
      </c>
      <c r="C27" s="38"/>
      <c r="D27" s="35"/>
      <c r="E27" s="34"/>
      <c r="F27" s="34"/>
      <c r="G27" s="34"/>
      <c r="H27" s="38"/>
      <c r="I27" s="38"/>
      <c r="J27" s="34"/>
      <c r="K27" s="46"/>
      <c r="L27" s="45"/>
      <c r="M27" s="45"/>
      <c r="N27" s="45"/>
      <c r="O27" s="45"/>
      <c r="P27" s="45"/>
      <c r="Q27" s="45"/>
      <c r="R27" s="45"/>
      <c r="S27" s="45"/>
      <c r="T27" s="45"/>
      <c r="U27" s="46"/>
      <c r="V27" s="45"/>
      <c r="W27" s="45"/>
      <c r="X27" s="45" t="s">
        <v>70</v>
      </c>
      <c r="Y27" s="45"/>
      <c r="Z27" s="45"/>
      <c r="AA27" s="18">
        <f t="shared" si="0"/>
        <v>1</v>
      </c>
    </row>
    <row r="28" spans="1:27" s="4" customFormat="1" ht="19.5" customHeight="1" x14ac:dyDescent="0.4">
      <c r="A28" s="30">
        <v>18</v>
      </c>
      <c r="B28" s="39" t="s">
        <v>24</v>
      </c>
      <c r="C28" s="38"/>
      <c r="D28" s="35"/>
      <c r="E28" s="34"/>
      <c r="F28" s="34"/>
      <c r="G28" s="34"/>
      <c r="H28" s="38"/>
      <c r="I28" s="38"/>
      <c r="J28" s="38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6"/>
      <c r="V28" s="45"/>
      <c r="W28" s="45"/>
      <c r="X28" s="45" t="s">
        <v>70</v>
      </c>
      <c r="Y28" s="45"/>
      <c r="Z28" s="45"/>
      <c r="AA28" s="18">
        <f t="shared" si="0"/>
        <v>1</v>
      </c>
    </row>
    <row r="29" spans="1:27" s="4" customFormat="1" ht="19.5" customHeight="1" x14ac:dyDescent="0.4">
      <c r="A29" s="30">
        <v>19</v>
      </c>
      <c r="B29" s="39" t="s">
        <v>19</v>
      </c>
      <c r="C29" s="38"/>
      <c r="D29" s="35"/>
      <c r="E29" s="38"/>
      <c r="F29" s="38"/>
      <c r="G29" s="34"/>
      <c r="H29" s="38"/>
      <c r="I29" s="38"/>
      <c r="J29" s="34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18">
        <f t="shared" si="0"/>
        <v>0</v>
      </c>
    </row>
    <row r="30" spans="1:27" s="4" customFormat="1" ht="19.5" customHeight="1" x14ac:dyDescent="0.4">
      <c r="A30" s="30">
        <v>20</v>
      </c>
      <c r="B30" s="39" t="s">
        <v>9</v>
      </c>
      <c r="C30" s="38"/>
      <c r="D30" s="35"/>
      <c r="E30" s="38"/>
      <c r="F30" s="38"/>
      <c r="G30" s="34"/>
      <c r="H30" s="38"/>
      <c r="I30" s="38"/>
      <c r="J30" s="34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18">
        <f t="shared" si="0"/>
        <v>0</v>
      </c>
    </row>
    <row r="31" spans="1:27" s="4" customFormat="1" ht="19.5" customHeight="1" x14ac:dyDescent="0.35">
      <c r="A31" s="32" t="s">
        <v>41</v>
      </c>
      <c r="B31" s="63" t="s">
        <v>44</v>
      </c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18"/>
    </row>
    <row r="32" spans="1:27" s="4" customFormat="1" ht="19.5" customHeight="1" x14ac:dyDescent="0.4">
      <c r="A32" s="30">
        <v>21</v>
      </c>
      <c r="B32" s="39" t="s">
        <v>4</v>
      </c>
      <c r="C32" s="34"/>
      <c r="D32" s="35"/>
      <c r="E32" s="38"/>
      <c r="F32" s="38"/>
      <c r="G32" s="34"/>
      <c r="H32" s="38"/>
      <c r="I32" s="38"/>
      <c r="J32" s="34"/>
      <c r="K32" s="45"/>
      <c r="L32" s="46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6"/>
      <c r="Z32" s="45"/>
      <c r="AA32" s="18">
        <f t="shared" ref="AA32:AA42" si="1">SUM(COUNTIF(A32:Z32, "/"),COUNTIF(A32:Z32,"1/2")*0.5)</f>
        <v>0</v>
      </c>
    </row>
    <row r="33" spans="1:28" s="4" customFormat="1" ht="19.5" customHeight="1" x14ac:dyDescent="0.4">
      <c r="A33" s="30">
        <v>22</v>
      </c>
      <c r="B33" s="39" t="s">
        <v>27</v>
      </c>
      <c r="C33" s="34"/>
      <c r="D33" s="35"/>
      <c r="E33" s="38"/>
      <c r="F33" s="34"/>
      <c r="G33" s="38"/>
      <c r="H33" s="38"/>
      <c r="I33" s="38"/>
      <c r="J33" s="38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18">
        <f t="shared" si="1"/>
        <v>0</v>
      </c>
    </row>
    <row r="34" spans="1:28" s="4" customFormat="1" ht="19.5" customHeight="1" x14ac:dyDescent="0.4">
      <c r="A34" s="30">
        <v>23</v>
      </c>
      <c r="B34" s="39" t="s">
        <v>26</v>
      </c>
      <c r="C34" s="38"/>
      <c r="D34" s="35"/>
      <c r="E34" s="38"/>
      <c r="F34" s="38"/>
      <c r="G34" s="34"/>
      <c r="H34" s="38"/>
      <c r="I34" s="38"/>
      <c r="J34" s="34"/>
      <c r="K34" s="46"/>
      <c r="L34" s="46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6"/>
      <c r="Z34" s="45"/>
      <c r="AA34" s="18">
        <f t="shared" si="1"/>
        <v>0</v>
      </c>
    </row>
    <row r="35" spans="1:28" s="4" customFormat="1" ht="19.5" customHeight="1" x14ac:dyDescent="0.4">
      <c r="A35" s="30">
        <v>24</v>
      </c>
      <c r="B35" s="39" t="s">
        <v>31</v>
      </c>
      <c r="C35" s="38"/>
      <c r="D35" s="35"/>
      <c r="E35" s="34"/>
      <c r="F35" s="34"/>
      <c r="G35" s="34"/>
      <c r="H35" s="38"/>
      <c r="I35" s="38"/>
      <c r="J35" s="34"/>
      <c r="K35" s="46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 t="s">
        <v>70</v>
      </c>
      <c r="Y35" s="45"/>
      <c r="Z35" s="45"/>
      <c r="AA35" s="18">
        <f t="shared" si="1"/>
        <v>1</v>
      </c>
    </row>
    <row r="36" spans="1:28" s="4" customFormat="1" ht="19.5" customHeight="1" x14ac:dyDescent="0.4">
      <c r="A36" s="30">
        <v>25</v>
      </c>
      <c r="B36" s="39" t="s">
        <v>30</v>
      </c>
      <c r="C36" s="38"/>
      <c r="D36" s="35"/>
      <c r="E36" s="34"/>
      <c r="F36" s="38"/>
      <c r="G36" s="34"/>
      <c r="H36" s="38"/>
      <c r="I36" s="38"/>
      <c r="J36" s="34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18">
        <f t="shared" si="1"/>
        <v>0</v>
      </c>
    </row>
    <row r="37" spans="1:28" s="4" customFormat="1" ht="19.5" customHeight="1" x14ac:dyDescent="0.4">
      <c r="A37" s="30">
        <v>26</v>
      </c>
      <c r="B37" s="39" t="s">
        <v>25</v>
      </c>
      <c r="C37" s="38"/>
      <c r="D37" s="35"/>
      <c r="E37" s="38"/>
      <c r="F37" s="38"/>
      <c r="G37" s="34"/>
      <c r="H37" s="38"/>
      <c r="I37" s="38"/>
      <c r="J37" s="38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18">
        <f t="shared" si="1"/>
        <v>0</v>
      </c>
    </row>
    <row r="38" spans="1:28" s="4" customFormat="1" ht="19.5" customHeight="1" x14ac:dyDescent="0.4">
      <c r="A38" s="30">
        <v>27</v>
      </c>
      <c r="B38" s="39" t="s">
        <v>47</v>
      </c>
      <c r="C38" s="34"/>
      <c r="D38" s="38"/>
      <c r="E38" s="38"/>
      <c r="F38" s="34"/>
      <c r="G38" s="38"/>
      <c r="H38" s="38"/>
      <c r="I38" s="38"/>
      <c r="J38" s="38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18">
        <f t="shared" si="1"/>
        <v>0</v>
      </c>
      <c r="AB38" s="6"/>
    </row>
    <row r="39" spans="1:28" s="4" customFormat="1" ht="19.5" customHeight="1" x14ac:dyDescent="0.4">
      <c r="A39" s="30">
        <v>28</v>
      </c>
      <c r="B39" s="39" t="s">
        <v>68</v>
      </c>
      <c r="C39" s="34"/>
      <c r="D39" s="38"/>
      <c r="E39" s="38"/>
      <c r="F39" s="34"/>
      <c r="G39" s="38"/>
      <c r="H39" s="38"/>
      <c r="I39" s="38"/>
      <c r="J39" s="38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18">
        <f t="shared" si="1"/>
        <v>0</v>
      </c>
      <c r="AB39" s="6"/>
    </row>
    <row r="40" spans="1:28" s="4" customFormat="1" ht="19.5" customHeight="1" x14ac:dyDescent="0.4">
      <c r="A40" s="30">
        <v>29</v>
      </c>
      <c r="B40" s="39" t="s">
        <v>61</v>
      </c>
      <c r="C40" s="38"/>
      <c r="D40" s="35"/>
      <c r="E40" s="34"/>
      <c r="F40" s="38"/>
      <c r="G40" s="34"/>
      <c r="H40" s="38"/>
      <c r="I40" s="38"/>
      <c r="J40" s="38"/>
      <c r="K40" s="45"/>
      <c r="L40" s="46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18">
        <f t="shared" si="1"/>
        <v>0</v>
      </c>
    </row>
    <row r="41" spans="1:28" s="4" customFormat="1" ht="19.5" customHeight="1" x14ac:dyDescent="0.4">
      <c r="A41" s="30">
        <v>30</v>
      </c>
      <c r="B41" s="39" t="s">
        <v>69</v>
      </c>
      <c r="C41" s="38"/>
      <c r="D41" s="35"/>
      <c r="E41" s="34"/>
      <c r="F41" s="38"/>
      <c r="G41" s="34"/>
      <c r="H41" s="38"/>
      <c r="I41" s="38"/>
      <c r="J41" s="38"/>
      <c r="K41" s="45"/>
      <c r="L41" s="46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18">
        <f t="shared" si="1"/>
        <v>0</v>
      </c>
    </row>
    <row r="42" spans="1:28" s="4" customFormat="1" ht="19.5" customHeight="1" x14ac:dyDescent="0.4">
      <c r="A42" s="30">
        <v>31</v>
      </c>
      <c r="B42" s="39" t="s">
        <v>76</v>
      </c>
      <c r="C42" s="34"/>
      <c r="D42" s="35"/>
      <c r="E42" s="38"/>
      <c r="F42" s="34"/>
      <c r="G42" s="38"/>
      <c r="H42" s="38"/>
      <c r="I42" s="38"/>
      <c r="J42" s="38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18">
        <f t="shared" si="1"/>
        <v>0</v>
      </c>
    </row>
    <row r="43" spans="1:28" s="4" customFormat="1" ht="19.5" customHeight="1" x14ac:dyDescent="0.35">
      <c r="A43" s="32"/>
      <c r="B43" s="63" t="s">
        <v>45</v>
      </c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18"/>
    </row>
    <row r="44" spans="1:28" s="4" customFormat="1" ht="19.5" customHeight="1" x14ac:dyDescent="0.4">
      <c r="A44" s="30">
        <v>32</v>
      </c>
      <c r="B44" s="39" t="s">
        <v>13</v>
      </c>
      <c r="C44" s="38"/>
      <c r="D44" s="35"/>
      <c r="E44" s="34"/>
      <c r="F44" s="38"/>
      <c r="G44" s="38"/>
      <c r="H44" s="38"/>
      <c r="I44" s="38"/>
      <c r="J44" s="34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18">
        <f t="shared" ref="AA44:AA62" si="2">SUM(COUNTIF(A44:Z44, "/"),COUNTIF(A44:Z44,"1/2")*0.5)</f>
        <v>0</v>
      </c>
    </row>
    <row r="45" spans="1:28" s="4" customFormat="1" ht="19.5" customHeight="1" x14ac:dyDescent="0.4">
      <c r="A45" s="30">
        <v>33</v>
      </c>
      <c r="B45" s="39" t="s">
        <v>16</v>
      </c>
      <c r="C45" s="38"/>
      <c r="D45" s="35"/>
      <c r="E45" s="38"/>
      <c r="F45" s="38"/>
      <c r="G45" s="38"/>
      <c r="H45" s="38"/>
      <c r="I45" s="34"/>
      <c r="J45" s="34"/>
      <c r="K45" s="45"/>
      <c r="L45" s="45"/>
      <c r="M45" s="45"/>
      <c r="N45" s="45"/>
      <c r="O45" s="45"/>
      <c r="P45" s="45"/>
      <c r="Q45" s="45"/>
      <c r="R45" s="45"/>
      <c r="S45" s="45"/>
      <c r="T45" s="46"/>
      <c r="U45" s="45"/>
      <c r="V45" s="45"/>
      <c r="W45" s="45"/>
      <c r="X45" s="45"/>
      <c r="Y45" s="45"/>
      <c r="Z45" s="45"/>
      <c r="AA45" s="18">
        <f t="shared" si="2"/>
        <v>0</v>
      </c>
    </row>
    <row r="46" spans="1:28" s="4" customFormat="1" ht="19.5" customHeight="1" x14ac:dyDescent="0.4">
      <c r="A46" s="30">
        <v>34</v>
      </c>
      <c r="B46" s="39" t="s">
        <v>23</v>
      </c>
      <c r="C46" s="38"/>
      <c r="D46" s="38"/>
      <c r="E46" s="38"/>
      <c r="F46" s="38"/>
      <c r="G46" s="38"/>
      <c r="H46" s="38"/>
      <c r="I46" s="38"/>
      <c r="J46" s="34"/>
      <c r="K46" s="45"/>
      <c r="L46" s="45"/>
      <c r="M46" s="45"/>
      <c r="N46" s="45"/>
      <c r="O46" s="45"/>
      <c r="P46" s="45"/>
      <c r="Q46" s="45"/>
      <c r="R46" s="45"/>
      <c r="S46" s="46"/>
      <c r="T46" s="45"/>
      <c r="U46" s="46"/>
      <c r="V46" s="45"/>
      <c r="W46" s="45"/>
      <c r="X46" s="45"/>
      <c r="Y46" s="45"/>
      <c r="Z46" s="45"/>
      <c r="AA46" s="18">
        <f t="shared" si="2"/>
        <v>0</v>
      </c>
    </row>
    <row r="47" spans="1:28" s="4" customFormat="1" ht="19.5" customHeight="1" x14ac:dyDescent="0.4">
      <c r="A47" s="30">
        <v>35</v>
      </c>
      <c r="B47" s="39" t="s">
        <v>20</v>
      </c>
      <c r="C47" s="38"/>
      <c r="D47" s="35"/>
      <c r="E47" s="38"/>
      <c r="F47" s="38"/>
      <c r="G47" s="38"/>
      <c r="H47" s="38"/>
      <c r="I47" s="38"/>
      <c r="J47" s="34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18">
        <f t="shared" si="2"/>
        <v>0</v>
      </c>
    </row>
    <row r="48" spans="1:28" s="4" customFormat="1" ht="19.5" customHeight="1" x14ac:dyDescent="0.4">
      <c r="A48" s="30">
        <v>36</v>
      </c>
      <c r="B48" s="39" t="s">
        <v>21</v>
      </c>
      <c r="C48" s="38"/>
      <c r="D48" s="38"/>
      <c r="E48" s="38"/>
      <c r="F48" s="38"/>
      <c r="G48" s="38"/>
      <c r="H48" s="38"/>
      <c r="I48" s="38"/>
      <c r="J48" s="38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18">
        <f t="shared" si="2"/>
        <v>0</v>
      </c>
    </row>
    <row r="49" spans="1:27" s="4" customFormat="1" ht="19.5" customHeight="1" x14ac:dyDescent="0.4">
      <c r="A49" s="30">
        <v>37</v>
      </c>
      <c r="B49" s="39" t="s">
        <v>22</v>
      </c>
      <c r="C49" s="38"/>
      <c r="D49" s="38"/>
      <c r="E49" s="38"/>
      <c r="F49" s="34"/>
      <c r="G49" s="38"/>
      <c r="H49" s="38"/>
      <c r="I49" s="34"/>
      <c r="J49" s="38"/>
      <c r="K49" s="45"/>
      <c r="L49" s="45"/>
      <c r="M49" s="45"/>
      <c r="N49" s="45"/>
      <c r="O49" s="45"/>
      <c r="P49" s="45"/>
      <c r="Q49" s="45"/>
      <c r="R49" s="46"/>
      <c r="S49" s="45"/>
      <c r="T49" s="45"/>
      <c r="U49" s="45"/>
      <c r="V49" s="45"/>
      <c r="W49" s="45"/>
      <c r="X49" s="46"/>
      <c r="Y49" s="45"/>
      <c r="Z49" s="45"/>
      <c r="AA49" s="18">
        <f t="shared" si="2"/>
        <v>0</v>
      </c>
    </row>
    <row r="50" spans="1:27" s="4" customFormat="1" ht="19.5" customHeight="1" x14ac:dyDescent="0.4">
      <c r="A50" s="30">
        <v>38</v>
      </c>
      <c r="B50" s="39" t="s">
        <v>17</v>
      </c>
      <c r="C50" s="38"/>
      <c r="D50" s="35"/>
      <c r="E50" s="38"/>
      <c r="F50" s="38"/>
      <c r="G50" s="34"/>
      <c r="H50" s="38"/>
      <c r="I50" s="38"/>
      <c r="J50" s="34"/>
      <c r="K50" s="46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18">
        <f t="shared" si="2"/>
        <v>0</v>
      </c>
    </row>
    <row r="51" spans="1:27" s="4" customFormat="1" ht="19.5" customHeight="1" x14ac:dyDescent="0.4">
      <c r="A51" s="30">
        <v>39</v>
      </c>
      <c r="B51" s="39" t="s">
        <v>46</v>
      </c>
      <c r="C51" s="34"/>
      <c r="D51" s="35"/>
      <c r="E51" s="38"/>
      <c r="F51" s="34"/>
      <c r="G51" s="38"/>
      <c r="H51" s="38"/>
      <c r="I51" s="34"/>
      <c r="J51" s="34"/>
      <c r="K51" s="45"/>
      <c r="L51" s="46"/>
      <c r="M51" s="45"/>
      <c r="N51" s="45"/>
      <c r="O51" s="45"/>
      <c r="P51" s="45"/>
      <c r="Q51" s="45"/>
      <c r="R51" s="45"/>
      <c r="S51" s="46"/>
      <c r="T51" s="45"/>
      <c r="U51" s="45"/>
      <c r="V51" s="45"/>
      <c r="W51" s="45"/>
      <c r="X51" s="45"/>
      <c r="Y51" s="45"/>
      <c r="Z51" s="45"/>
      <c r="AA51" s="18">
        <f t="shared" si="2"/>
        <v>0</v>
      </c>
    </row>
    <row r="52" spans="1:27" s="4" customFormat="1" ht="19.5" customHeight="1" x14ac:dyDescent="0.4">
      <c r="A52" s="30">
        <v>40</v>
      </c>
      <c r="B52" s="39" t="s">
        <v>48</v>
      </c>
      <c r="C52" s="38"/>
      <c r="D52" s="38"/>
      <c r="E52" s="38"/>
      <c r="F52" s="38"/>
      <c r="G52" s="38"/>
      <c r="H52" s="38"/>
      <c r="I52" s="38"/>
      <c r="J52" s="38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18">
        <f t="shared" si="2"/>
        <v>0</v>
      </c>
    </row>
    <row r="53" spans="1:27" s="4" customFormat="1" ht="19.5" customHeight="1" x14ac:dyDescent="0.4">
      <c r="A53" s="30">
        <v>41</v>
      </c>
      <c r="B53" s="39" t="s">
        <v>49</v>
      </c>
      <c r="C53" s="38"/>
      <c r="D53" s="35"/>
      <c r="E53" s="38"/>
      <c r="F53" s="38"/>
      <c r="G53" s="38"/>
      <c r="H53" s="38"/>
      <c r="I53" s="38"/>
      <c r="J53" s="34"/>
      <c r="K53" s="46"/>
      <c r="L53" s="45"/>
      <c r="M53" s="45"/>
      <c r="N53" s="45"/>
      <c r="O53" s="45"/>
      <c r="P53" s="45"/>
      <c r="Q53" s="45"/>
      <c r="R53" s="45"/>
      <c r="S53" s="45"/>
      <c r="T53" s="45"/>
      <c r="U53" s="46"/>
      <c r="V53" s="45"/>
      <c r="W53" s="45"/>
      <c r="X53" s="45"/>
      <c r="Y53" s="45"/>
      <c r="Z53" s="45"/>
      <c r="AA53" s="18">
        <f t="shared" si="2"/>
        <v>0</v>
      </c>
    </row>
    <row r="54" spans="1:27" s="4" customFormat="1" ht="19.5" customHeight="1" x14ac:dyDescent="0.4">
      <c r="A54" s="30">
        <v>42</v>
      </c>
      <c r="B54" s="39" t="s">
        <v>50</v>
      </c>
      <c r="C54" s="34"/>
      <c r="D54" s="38"/>
      <c r="E54" s="34"/>
      <c r="F54" s="34"/>
      <c r="G54" s="38"/>
      <c r="H54" s="38"/>
      <c r="I54" s="38"/>
      <c r="J54" s="34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18">
        <f t="shared" si="2"/>
        <v>0</v>
      </c>
    </row>
    <row r="55" spans="1:27" s="4" customFormat="1" ht="19.5" customHeight="1" x14ac:dyDescent="0.4">
      <c r="A55" s="30">
        <v>43</v>
      </c>
      <c r="B55" s="39" t="s">
        <v>51</v>
      </c>
      <c r="C55" s="38"/>
      <c r="D55" s="38"/>
      <c r="E55" s="34"/>
      <c r="F55" s="38"/>
      <c r="G55" s="38"/>
      <c r="H55" s="38"/>
      <c r="I55" s="38"/>
      <c r="J55" s="34"/>
      <c r="K55" s="45"/>
      <c r="L55" s="46"/>
      <c r="M55" s="45"/>
      <c r="N55" s="45"/>
      <c r="O55" s="45"/>
      <c r="P55" s="45"/>
      <c r="Q55" s="45"/>
      <c r="R55" s="45"/>
      <c r="S55" s="46"/>
      <c r="T55" s="46"/>
      <c r="U55" s="45"/>
      <c r="V55" s="45"/>
      <c r="W55" s="45"/>
      <c r="X55" s="45"/>
      <c r="Y55" s="46"/>
      <c r="Z55" s="45"/>
      <c r="AA55" s="18">
        <f t="shared" si="2"/>
        <v>0</v>
      </c>
    </row>
    <row r="56" spans="1:27" s="4" customFormat="1" ht="19.5" customHeight="1" x14ac:dyDescent="0.4">
      <c r="A56" s="30">
        <v>44</v>
      </c>
      <c r="B56" s="39" t="s">
        <v>57</v>
      </c>
      <c r="C56" s="38"/>
      <c r="D56" s="35"/>
      <c r="E56" s="38"/>
      <c r="F56" s="38"/>
      <c r="G56" s="38"/>
      <c r="H56" s="38"/>
      <c r="I56" s="38"/>
      <c r="J56" s="38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6"/>
      <c r="Z56" s="45"/>
      <c r="AA56" s="18">
        <f t="shared" si="2"/>
        <v>0</v>
      </c>
    </row>
    <row r="57" spans="1:27" s="4" customFormat="1" ht="19.5" customHeight="1" x14ac:dyDescent="0.4">
      <c r="A57" s="30">
        <v>45</v>
      </c>
      <c r="B57" s="39" t="s">
        <v>8</v>
      </c>
      <c r="C57" s="38"/>
      <c r="D57" s="35"/>
      <c r="E57" s="38"/>
      <c r="F57" s="38"/>
      <c r="G57" s="38"/>
      <c r="H57" s="38"/>
      <c r="I57" s="38"/>
      <c r="J57" s="34"/>
      <c r="K57" s="45"/>
      <c r="L57" s="45"/>
      <c r="M57" s="45"/>
      <c r="N57" s="45"/>
      <c r="O57" s="45"/>
      <c r="P57" s="45"/>
      <c r="Q57" s="45"/>
      <c r="R57" s="45"/>
      <c r="S57" s="46"/>
      <c r="T57" s="46"/>
      <c r="U57" s="45"/>
      <c r="V57" s="45"/>
      <c r="W57" s="45"/>
      <c r="X57" s="45"/>
      <c r="Y57" s="45"/>
      <c r="Z57" s="45"/>
      <c r="AA57" s="18">
        <f t="shared" si="2"/>
        <v>0</v>
      </c>
    </row>
    <row r="58" spans="1:27" s="4" customFormat="1" ht="19.5" customHeight="1" x14ac:dyDescent="0.4">
      <c r="A58" s="30">
        <v>46</v>
      </c>
      <c r="B58" s="39" t="s">
        <v>53</v>
      </c>
      <c r="C58" s="38"/>
      <c r="D58" s="38"/>
      <c r="E58" s="38"/>
      <c r="F58" s="38"/>
      <c r="G58" s="38"/>
      <c r="H58" s="38"/>
      <c r="I58" s="38"/>
      <c r="J58" s="34"/>
      <c r="K58" s="46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18">
        <f t="shared" si="2"/>
        <v>0</v>
      </c>
    </row>
    <row r="59" spans="1:27" s="4" customFormat="1" ht="19.5" customHeight="1" x14ac:dyDescent="0.4">
      <c r="A59" s="30">
        <v>47</v>
      </c>
      <c r="B59" s="39" t="s">
        <v>54</v>
      </c>
      <c r="C59" s="38"/>
      <c r="D59" s="38"/>
      <c r="E59" s="34"/>
      <c r="F59" s="38"/>
      <c r="G59" s="38"/>
      <c r="H59" s="38"/>
      <c r="I59" s="38"/>
      <c r="J59" s="3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18">
        <f t="shared" si="2"/>
        <v>0</v>
      </c>
    </row>
    <row r="60" spans="1:27" s="4" customFormat="1" ht="19.5" customHeight="1" x14ac:dyDescent="0.4">
      <c r="A60" s="30">
        <v>48</v>
      </c>
      <c r="B60" s="39" t="s">
        <v>55</v>
      </c>
      <c r="C60" s="38"/>
      <c r="D60" s="35"/>
      <c r="E60" s="38"/>
      <c r="F60" s="38"/>
      <c r="G60" s="34"/>
      <c r="H60" s="38"/>
      <c r="I60" s="38"/>
      <c r="J60" s="34"/>
      <c r="K60" s="46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18">
        <f t="shared" si="2"/>
        <v>0</v>
      </c>
    </row>
    <row r="61" spans="1:27" s="4" customFormat="1" ht="19.5" customHeight="1" x14ac:dyDescent="0.4">
      <c r="A61" s="30">
        <v>49</v>
      </c>
      <c r="B61" s="39" t="s">
        <v>56</v>
      </c>
      <c r="C61" s="38"/>
      <c r="D61" s="35"/>
      <c r="E61" s="38"/>
      <c r="F61" s="34"/>
      <c r="G61" s="34"/>
      <c r="H61" s="38"/>
      <c r="I61" s="38"/>
      <c r="J61" s="34"/>
      <c r="K61" s="46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18">
        <f t="shared" si="2"/>
        <v>0</v>
      </c>
    </row>
    <row r="62" spans="1:27" s="4" customFormat="1" ht="19.5" customHeight="1" x14ac:dyDescent="0.4">
      <c r="A62" s="30">
        <v>50</v>
      </c>
      <c r="B62" s="39" t="s">
        <v>73</v>
      </c>
      <c r="C62" s="38"/>
      <c r="D62" s="35"/>
      <c r="E62" s="38"/>
      <c r="F62" s="34"/>
      <c r="G62" s="34"/>
      <c r="H62" s="38"/>
      <c r="I62" s="38"/>
      <c r="J62" s="34"/>
      <c r="K62" s="46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18">
        <f t="shared" si="2"/>
        <v>0</v>
      </c>
    </row>
    <row r="63" spans="1:27" s="4" customFormat="1" ht="19.5" customHeight="1" x14ac:dyDescent="0.35">
      <c r="A63" s="50" t="s">
        <v>3</v>
      </c>
      <c r="B63" s="51"/>
      <c r="C63" s="31">
        <f t="shared" ref="C63:Z63" si="3">SUM(COUNTIF(C7:C62, "/"),COUNTIF(C7:C62,"1/2")*0.5)</f>
        <v>0</v>
      </c>
      <c r="D63" s="31">
        <f t="shared" si="3"/>
        <v>0</v>
      </c>
      <c r="E63" s="31">
        <f t="shared" si="3"/>
        <v>0</v>
      </c>
      <c r="F63" s="31">
        <f t="shared" si="3"/>
        <v>0</v>
      </c>
      <c r="G63" s="31">
        <f t="shared" si="3"/>
        <v>0</v>
      </c>
      <c r="H63" s="31">
        <f t="shared" si="3"/>
        <v>0</v>
      </c>
      <c r="I63" s="31">
        <f t="shared" si="3"/>
        <v>0</v>
      </c>
      <c r="J63" s="31">
        <f t="shared" si="3"/>
        <v>0</v>
      </c>
      <c r="K63" s="31">
        <f t="shared" si="3"/>
        <v>0</v>
      </c>
      <c r="L63" s="31">
        <f t="shared" si="3"/>
        <v>0</v>
      </c>
      <c r="M63" s="31">
        <f t="shared" si="3"/>
        <v>0</v>
      </c>
      <c r="N63" s="31">
        <f t="shared" si="3"/>
        <v>0</v>
      </c>
      <c r="O63" s="31">
        <f t="shared" si="3"/>
        <v>0</v>
      </c>
      <c r="P63" s="31">
        <f t="shared" si="3"/>
        <v>0</v>
      </c>
      <c r="Q63" s="31">
        <f t="shared" si="3"/>
        <v>0</v>
      </c>
      <c r="R63" s="31">
        <f t="shared" si="3"/>
        <v>0</v>
      </c>
      <c r="S63" s="31">
        <f t="shared" si="3"/>
        <v>0</v>
      </c>
      <c r="T63" s="31">
        <f t="shared" si="3"/>
        <v>0</v>
      </c>
      <c r="U63" s="31">
        <f t="shared" si="3"/>
        <v>0</v>
      </c>
      <c r="V63" s="31">
        <f t="shared" si="3"/>
        <v>0</v>
      </c>
      <c r="W63" s="31">
        <f t="shared" si="3"/>
        <v>0</v>
      </c>
      <c r="X63" s="31">
        <f t="shared" si="3"/>
        <v>4</v>
      </c>
      <c r="Y63" s="31">
        <f t="shared" si="3"/>
        <v>0</v>
      </c>
      <c r="Z63" s="31">
        <f t="shared" si="3"/>
        <v>0</v>
      </c>
      <c r="AA63" s="24">
        <f>SUM(C63:Z63)</f>
        <v>4</v>
      </c>
    </row>
    <row r="64" spans="1:27" s="6" customFormat="1" ht="19.5" customHeight="1" x14ac:dyDescent="0.35">
      <c r="A64" s="52" t="s">
        <v>3</v>
      </c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</row>
    <row r="65" spans="1:27" s="6" customFormat="1" ht="21.75" customHeight="1" x14ac:dyDescent="0.35">
      <c r="A65" s="53" t="s">
        <v>78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</row>
    <row r="66" spans="1:27" s="8" customFormat="1" ht="21.75" customHeight="1" x14ac:dyDescent="0.4">
      <c r="A66" s="9" t="s">
        <v>71</v>
      </c>
      <c r="B66" s="10" t="s">
        <v>64</v>
      </c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spans="1:27" s="8" customFormat="1" ht="14.25" customHeight="1" x14ac:dyDescent="0.45">
      <c r="A67" s="7"/>
      <c r="B67" s="11"/>
      <c r="C67" s="16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55" t="s">
        <v>79</v>
      </c>
      <c r="U67" s="55"/>
      <c r="V67" s="55"/>
      <c r="W67" s="55"/>
      <c r="X67" s="55"/>
      <c r="Y67" s="55"/>
      <c r="Z67" s="55"/>
    </row>
    <row r="68" spans="1:27" s="8" customFormat="1" ht="15.4" x14ac:dyDescent="0.45">
      <c r="A68" s="7"/>
      <c r="B68" s="56"/>
      <c r="C68" s="56"/>
      <c r="D68" s="56"/>
      <c r="E68" s="56"/>
      <c r="F68" s="29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43"/>
      <c r="T68" s="1"/>
      <c r="U68" s="56" t="s">
        <v>32</v>
      </c>
      <c r="V68" s="56"/>
      <c r="W68" s="56"/>
      <c r="X68" s="56"/>
      <c r="Y68" s="56"/>
      <c r="Z68" s="56"/>
    </row>
    <row r="69" spans="1:27" s="8" customFormat="1" ht="15.4" x14ac:dyDescent="0.45">
      <c r="A69" s="7"/>
      <c r="B69" s="48"/>
      <c r="C69" s="48"/>
      <c r="D69" s="48"/>
      <c r="E69" s="48"/>
      <c r="F69" s="2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2"/>
      <c r="T69" s="1"/>
      <c r="U69" s="1"/>
      <c r="V69" s="48" t="s">
        <v>33</v>
      </c>
      <c r="W69" s="48"/>
      <c r="X69" s="48"/>
      <c r="Y69" s="48"/>
      <c r="Z69" s="48"/>
    </row>
    <row r="70" spans="1:27" s="8" customFormat="1" ht="15.4" x14ac:dyDescent="0.45">
      <c r="A70" s="7"/>
      <c r="B70" s="11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spans="1:27" s="8" customFormat="1" ht="15.4" x14ac:dyDescent="0.45">
      <c r="A71" s="7"/>
      <c r="B71" s="11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spans="1:27" s="8" customFormat="1" ht="15.4" x14ac:dyDescent="0.45">
      <c r="A72" s="7"/>
      <c r="B72" s="12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spans="1:27" s="8" customFormat="1" x14ac:dyDescent="0.4">
      <c r="B73" s="13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s="8" customFormat="1" x14ac:dyDescent="0.4">
      <c r="B74" s="13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s="8" customFormat="1" x14ac:dyDescent="0.4">
      <c r="B75" s="13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s="8" customFormat="1" x14ac:dyDescent="0.4">
      <c r="B76" s="13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s="8" customFormat="1" x14ac:dyDescent="0.4">
      <c r="B77" s="13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</sheetData>
  <mergeCells count="32">
    <mergeCell ref="B68:E68"/>
    <mergeCell ref="G68:R68"/>
    <mergeCell ref="U68:Z68"/>
    <mergeCell ref="B69:E69"/>
    <mergeCell ref="G69:R69"/>
    <mergeCell ref="V69:Z69"/>
    <mergeCell ref="T67:Z67"/>
    <mergeCell ref="B6:Z6"/>
    <mergeCell ref="B9:Z9"/>
    <mergeCell ref="B11:Z11"/>
    <mergeCell ref="B16:Z16"/>
    <mergeCell ref="B20:Z20"/>
    <mergeCell ref="B31:Z31"/>
    <mergeCell ref="B43:Z43"/>
    <mergeCell ref="A63:B63"/>
    <mergeCell ref="A64:AA64"/>
    <mergeCell ref="A65:AA65"/>
    <mergeCell ref="C66:M66"/>
    <mergeCell ref="A1:AA1"/>
    <mergeCell ref="A2:AA2"/>
    <mergeCell ref="A3:A5"/>
    <mergeCell ref="B3:B5"/>
    <mergeCell ref="C3:Z3"/>
    <mergeCell ref="AA3:AA5"/>
    <mergeCell ref="C4:E4"/>
    <mergeCell ref="F4:H4"/>
    <mergeCell ref="I4:K4"/>
    <mergeCell ref="L4:N4"/>
    <mergeCell ref="O4:Q4"/>
    <mergeCell ref="R4:T4"/>
    <mergeCell ref="U4:W4"/>
    <mergeCell ref="X4:Z4"/>
  </mergeCells>
  <pageMargins left="0.7" right="0.7" top="0.28000000000000003" bottom="0.28000000000000003" header="0.3" footer="0.3"/>
  <pageSetup paperSize="9" scale="74" fitToHeight="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Mới (2)</vt:lpstr>
      <vt:lpstr>Mới</vt:lpstr>
      <vt:lpstr>NAII (7)</vt:lpstr>
      <vt:lpstr>NAII</vt:lpstr>
      <vt:lpstr>Mới!Print_Area</vt:lpstr>
      <vt:lpstr>'Mới (2)'!Print_Area</vt:lpstr>
      <vt:lpstr>NAII!Print_Area</vt:lpstr>
      <vt:lpstr>'NAII (7)'!Print_Area</vt:lpstr>
      <vt:lpstr>Mới!Print_Titles</vt:lpstr>
      <vt:lpstr>'Mới (2)'!Print_Titles</vt:lpstr>
      <vt:lpstr>NAII!Print_Titles</vt:lpstr>
      <vt:lpstr>'NAII (7)'!Print_Titles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</dc:creator>
  <cp:lastModifiedBy>vanty</cp:lastModifiedBy>
  <cp:lastPrinted>2026-04-07T03:03:28Z</cp:lastPrinted>
  <dcterms:created xsi:type="dcterms:W3CDTF">2023-11-01T07:40:50Z</dcterms:created>
  <dcterms:modified xsi:type="dcterms:W3CDTF">2026-04-10T04:00:33Z</dcterms:modified>
</cp:coreProperties>
</file>